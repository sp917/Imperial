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OneDrive\Documents\Imperial\Expenses\Jamboree\"/>
    </mc:Choice>
  </mc:AlternateContent>
  <workbookProtection workbookAlgorithmName="SHA-512" workbookHashValue="iGJ5K9lUIpc7SL13BnPUhH9XKETf9muaOx7nAqkxOahD910pzVxNtnI+7HkmiFbpH+VxF1BQjHoE+gksdHGdvA==" workbookSaltValue="5uf7VMoNHB6hVO6HjDY1Ag==" workbookSpinCount="100000" lockStructure="1"/>
  <bookViews>
    <workbookView xWindow="10155" yWindow="-345" windowWidth="19035" windowHeight="9870"/>
  </bookViews>
  <sheets>
    <sheet name="Expense claim form" sheetId="1" r:id="rId1"/>
    <sheet name="Rates" sheetId="2" state="hidden" r:id="rId2"/>
    <sheet name="Mileage rates and intercampus " sheetId="3" state="hidden" r:id="rId3"/>
    <sheet name="Form amendments" sheetId="5" state="hidden" r:id="rId4"/>
  </sheets>
  <definedNames>
    <definedName name="Page_1">'Expense claim form'!$B$2:$AT$65</definedName>
    <definedName name="Page_2___Details_of_mileage_claims">'Expense claim form'!$B$67:$AT$105</definedName>
    <definedName name="_xlnm.Print_Area" localSheetId="0">'Expense claim form'!$B$67:$AT$105</definedName>
    <definedName name="_xlnm.Print_Area">'Expense claim form'!$B$2:$AT$65</definedName>
    <definedName name="Rates">Rates!$E$17:$L$92</definedName>
  </definedNames>
  <calcPr calcId="152511"/>
</workbook>
</file>

<file path=xl/calcChain.xml><?xml version="1.0" encoding="utf-8"?>
<calcChain xmlns="http://schemas.openxmlformats.org/spreadsheetml/2006/main">
  <c r="AL7" i="1" l="1"/>
  <c r="AL9" i="1"/>
  <c r="AT69" i="1" l="1"/>
  <c r="AL70" i="1"/>
  <c r="X70" i="1"/>
  <c r="G70" i="1"/>
  <c r="D4" i="1" l="1"/>
  <c r="AQ52" i="1" l="1"/>
  <c r="Y14" i="1" l="1"/>
  <c r="AI14" i="1"/>
  <c r="AI94" i="1"/>
  <c r="AM94" i="1" s="1"/>
  <c r="F94" i="1"/>
  <c r="AI93" i="1"/>
  <c r="AM93" i="1" s="1"/>
  <c r="F93" i="1"/>
  <c r="AE96" i="1"/>
  <c r="Y75" i="1" s="1"/>
  <c r="BD75" i="1" s="1"/>
  <c r="AQ95" i="1"/>
  <c r="AI95" i="1"/>
  <c r="AM95" i="1" s="1"/>
  <c r="F95" i="1"/>
  <c r="AI92" i="1"/>
  <c r="AM92" i="1" s="1"/>
  <c r="F92" i="1"/>
  <c r="AI74" i="1"/>
  <c r="Y74" i="1"/>
  <c r="AQ94" i="1" l="1"/>
  <c r="AQ92" i="1"/>
  <c r="AQ93" i="1"/>
  <c r="BD77" i="1"/>
  <c r="BD92" i="1"/>
  <c r="BD81" i="1"/>
  <c r="BD85" i="1"/>
  <c r="BD89" i="1"/>
  <c r="BD95" i="1"/>
  <c r="BD78" i="1"/>
  <c r="BD82" i="1"/>
  <c r="BD86" i="1"/>
  <c r="BD90" i="1"/>
  <c r="BD94" i="1"/>
  <c r="BD79" i="1"/>
  <c r="BD83" i="1"/>
  <c r="BD87" i="1"/>
  <c r="BD93" i="1"/>
  <c r="BD80" i="1"/>
  <c r="BD84" i="1"/>
  <c r="BD88" i="1"/>
  <c r="AE24" i="1"/>
  <c r="AC70" i="1"/>
  <c r="AL11" i="1" l="1"/>
  <c r="AC5" i="1"/>
  <c r="F22" i="1" l="1"/>
  <c r="F23" i="1"/>
  <c r="AI23" i="1"/>
  <c r="AM23" i="1" s="1"/>
  <c r="AI22" i="1"/>
  <c r="AM22" i="1" s="1"/>
  <c r="Y15" i="1"/>
  <c r="BD15" i="1" s="1"/>
  <c r="D93" i="2" l="1"/>
  <c r="A93" i="2"/>
  <c r="E55" i="2"/>
  <c r="E68" i="2"/>
  <c r="E30" i="2"/>
  <c r="E93" i="2" l="1"/>
  <c r="AF11" i="1"/>
  <c r="AF9" i="1"/>
  <c r="AF7" i="1"/>
  <c r="AQ55" i="1"/>
  <c r="AQ54" i="1"/>
  <c r="AQ53" i="1"/>
  <c r="AQ51" i="1"/>
  <c r="AQ50" i="1"/>
  <c r="AQ49" i="1"/>
  <c r="AQ45" i="1"/>
  <c r="AQ43" i="1"/>
  <c r="K67" i="2"/>
  <c r="K66" i="2"/>
  <c r="K65" i="2"/>
  <c r="K64" i="2"/>
  <c r="K63" i="2"/>
  <c r="K62" i="2"/>
  <c r="K61" i="2"/>
  <c r="K60" i="2"/>
  <c r="K59" i="2"/>
  <c r="K58" i="2"/>
  <c r="K57" i="2"/>
  <c r="K56" i="2"/>
  <c r="K68" i="2" s="1"/>
  <c r="E19" i="2"/>
  <c r="E20" i="2"/>
  <c r="E21" i="2"/>
  <c r="E22" i="2"/>
  <c r="E23" i="2"/>
  <c r="E24" i="2"/>
  <c r="E25" i="2"/>
  <c r="E26" i="2"/>
  <c r="E27" i="2"/>
  <c r="E28" i="2"/>
  <c r="E29" i="2"/>
  <c r="E31" i="2"/>
  <c r="E32" i="2"/>
  <c r="E33" i="2"/>
  <c r="E34" i="2"/>
  <c r="E35" i="2"/>
  <c r="E36" i="2"/>
  <c r="E37" i="2"/>
  <c r="E38" i="2"/>
  <c r="E39" i="2"/>
  <c r="E40" i="2"/>
  <c r="E41" i="2"/>
  <c r="E42" i="2"/>
  <c r="E43" i="2"/>
  <c r="E44" i="2"/>
  <c r="E45" i="2"/>
  <c r="E46" i="2"/>
  <c r="E47" i="2"/>
  <c r="E48" i="2"/>
  <c r="E49" i="2"/>
  <c r="E50" i="2"/>
  <c r="E51" i="2"/>
  <c r="E52" i="2"/>
  <c r="E53" i="2"/>
  <c r="E54" i="2"/>
  <c r="E56" i="2"/>
  <c r="E57" i="2"/>
  <c r="E58" i="2"/>
  <c r="E59" i="2"/>
  <c r="E60" i="2"/>
  <c r="E61" i="2"/>
  <c r="E62" i="2"/>
  <c r="E63" i="2"/>
  <c r="E64" i="2"/>
  <c r="E65" i="2"/>
  <c r="E66" i="2"/>
  <c r="E67" i="2"/>
  <c r="E69" i="2"/>
  <c r="E70" i="2"/>
  <c r="E71" i="2"/>
  <c r="E72" i="2"/>
  <c r="E73" i="2"/>
  <c r="E74" i="2"/>
  <c r="E75" i="2"/>
  <c r="E76" i="2"/>
  <c r="E77" i="2"/>
  <c r="E78" i="2"/>
  <c r="E79" i="2"/>
  <c r="E80" i="2"/>
  <c r="E81" i="2"/>
  <c r="E82" i="2"/>
  <c r="E83" i="2"/>
  <c r="E84" i="2"/>
  <c r="E85" i="2"/>
  <c r="E86" i="2"/>
  <c r="E87" i="2"/>
  <c r="E88" i="2"/>
  <c r="E89" i="2"/>
  <c r="E90" i="2"/>
  <c r="E91" i="2"/>
  <c r="E92" i="2"/>
  <c r="E18" i="2"/>
  <c r="O11" i="2"/>
  <c r="L59" i="2" s="1"/>
  <c r="P11" i="2"/>
  <c r="L60" i="2" s="1"/>
  <c r="Q11" i="2"/>
  <c r="L61" i="2" s="1"/>
  <c r="O12" i="2"/>
  <c r="L62" i="2" s="1"/>
  <c r="P12" i="2"/>
  <c r="L63" i="2" s="1"/>
  <c r="Q12" i="2"/>
  <c r="L64" i="2" s="1"/>
  <c r="O13" i="2"/>
  <c r="L65" i="2" s="1"/>
  <c r="P13" i="2"/>
  <c r="L66" i="2" s="1"/>
  <c r="Q13" i="2"/>
  <c r="L67" i="2" s="1"/>
  <c r="P10" i="2"/>
  <c r="L57" i="2" s="1"/>
  <c r="Q10" i="2"/>
  <c r="L58" i="2" s="1"/>
  <c r="O10" i="2"/>
  <c r="L56" i="2" s="1"/>
  <c r="L68" i="2" s="1"/>
  <c r="R11" i="2"/>
  <c r="L84" i="2" s="1"/>
  <c r="S11" i="2"/>
  <c r="L85" i="2" s="1"/>
  <c r="T11" i="2"/>
  <c r="L86" i="2" s="1"/>
  <c r="R12" i="2"/>
  <c r="L87" i="2" s="1"/>
  <c r="S12" i="2"/>
  <c r="L88" i="2" s="1"/>
  <c r="T12" i="2"/>
  <c r="L89" i="2" s="1"/>
  <c r="R13" i="2"/>
  <c r="L90" i="2" s="1"/>
  <c r="S13" i="2"/>
  <c r="L91" i="2" s="1"/>
  <c r="T13" i="2"/>
  <c r="L92" i="2" s="1"/>
  <c r="S10" i="2"/>
  <c r="L82" i="2" s="1"/>
  <c r="T10" i="2"/>
  <c r="L83" i="2" s="1"/>
  <c r="R10" i="2"/>
  <c r="L81" i="2" s="1"/>
  <c r="L93" i="2" s="1"/>
  <c r="H11" i="2"/>
  <c r="K84" i="2" s="1"/>
  <c r="I11" i="2"/>
  <c r="K85" i="2" s="1"/>
  <c r="J11" i="2"/>
  <c r="K86" i="2" s="1"/>
  <c r="H12" i="2"/>
  <c r="K87" i="2" s="1"/>
  <c r="I12" i="2"/>
  <c r="K88" i="2" s="1"/>
  <c r="J12" i="2"/>
  <c r="K89" i="2" s="1"/>
  <c r="H13" i="2"/>
  <c r="K90" i="2" s="1"/>
  <c r="I13" i="2"/>
  <c r="K91" i="2" s="1"/>
  <c r="J13" i="2"/>
  <c r="K92" i="2" s="1"/>
  <c r="I10" i="2"/>
  <c r="K82" i="2" s="1"/>
  <c r="J10" i="2"/>
  <c r="K83" i="2" s="1"/>
  <c r="H10" i="2"/>
  <c r="K81" i="2" s="1"/>
  <c r="K93" i="2" s="1"/>
  <c r="B11" i="2"/>
  <c r="K72" i="2" s="1"/>
  <c r="C11" i="2"/>
  <c r="K73" i="2" s="1"/>
  <c r="D11" i="2"/>
  <c r="K74" i="2" s="1"/>
  <c r="B12" i="2"/>
  <c r="K75" i="2" s="1"/>
  <c r="C12" i="2"/>
  <c r="K76" i="2" s="1"/>
  <c r="D12" i="2"/>
  <c r="K77" i="2" s="1"/>
  <c r="B13" i="2"/>
  <c r="K78" i="2" s="1"/>
  <c r="C13" i="2"/>
  <c r="K79" i="2" s="1"/>
  <c r="D13" i="2"/>
  <c r="K80" i="2" s="1"/>
  <c r="C10" i="2"/>
  <c r="K70" i="2" s="1"/>
  <c r="D10" i="2"/>
  <c r="K71" i="2" s="1"/>
  <c r="B10" i="2"/>
  <c r="K69" i="2" s="1"/>
  <c r="AQ23" i="1"/>
  <c r="AQ22" i="1"/>
  <c r="N5" i="2"/>
  <c r="N11" i="2" s="1"/>
  <c r="L74" i="2" s="1"/>
  <c r="N6" i="2"/>
  <c r="L39" i="2" s="1"/>
  <c r="N7" i="2"/>
  <c r="N13" i="2" s="1"/>
  <c r="L80" i="2" s="1"/>
  <c r="N4" i="2"/>
  <c r="L33" i="2" s="1"/>
  <c r="M5" i="2"/>
  <c r="L35" i="2" s="1"/>
  <c r="M6" i="2"/>
  <c r="M12" i="2" s="1"/>
  <c r="L76" i="2" s="1"/>
  <c r="M7" i="2"/>
  <c r="L41" i="2" s="1"/>
  <c r="M4" i="2"/>
  <c r="M10" i="2" s="1"/>
  <c r="L70" i="2" s="1"/>
  <c r="L6" i="2"/>
  <c r="L12" i="2" s="1"/>
  <c r="L75" i="2" s="1"/>
  <c r="L7" i="2"/>
  <c r="L13" i="2" s="1"/>
  <c r="L78" i="2" s="1"/>
  <c r="L5" i="2"/>
  <c r="L11" i="2" s="1"/>
  <c r="L72" i="2" s="1"/>
  <c r="L4" i="2"/>
  <c r="L10" i="2" s="1"/>
  <c r="L69" i="2" s="1"/>
  <c r="K42" i="2"/>
  <c r="K41" i="2"/>
  <c r="K40" i="2"/>
  <c r="K39" i="2"/>
  <c r="K38" i="2"/>
  <c r="K37" i="2"/>
  <c r="K36" i="2"/>
  <c r="K35" i="2"/>
  <c r="K34" i="2"/>
  <c r="K33" i="2"/>
  <c r="K32" i="2"/>
  <c r="K31" i="2"/>
  <c r="K29" i="2"/>
  <c r="L54" i="2"/>
  <c r="L53" i="2"/>
  <c r="L52" i="2"/>
  <c r="L51" i="2"/>
  <c r="L50" i="2"/>
  <c r="L49" i="2"/>
  <c r="L48" i="2"/>
  <c r="L47" i="2"/>
  <c r="L46" i="2"/>
  <c r="L45" i="2"/>
  <c r="L44" i="2"/>
  <c r="L43" i="2"/>
  <c r="L55" i="2" s="1"/>
  <c r="K54" i="2"/>
  <c r="K53" i="2"/>
  <c r="K52" i="2"/>
  <c r="K51" i="2"/>
  <c r="K50" i="2"/>
  <c r="K49" i="2"/>
  <c r="K48" i="2"/>
  <c r="K47" i="2"/>
  <c r="K46" i="2"/>
  <c r="K45" i="2"/>
  <c r="K44" i="2"/>
  <c r="K43" i="2"/>
  <c r="K55" i="2" s="1"/>
  <c r="L29" i="2"/>
  <c r="L28" i="2"/>
  <c r="L27" i="2"/>
  <c r="L26" i="2"/>
  <c r="L25" i="2"/>
  <c r="L24" i="2"/>
  <c r="K28" i="2"/>
  <c r="K27" i="2"/>
  <c r="K26" i="2"/>
  <c r="K25" i="2"/>
  <c r="K24" i="2"/>
  <c r="L23" i="2"/>
  <c r="L22" i="2"/>
  <c r="L21" i="2"/>
  <c r="K23" i="2"/>
  <c r="K22" i="2"/>
  <c r="K21" i="2"/>
  <c r="L20" i="2"/>
  <c r="L19" i="2"/>
  <c r="K20" i="2"/>
  <c r="K19" i="2"/>
  <c r="L18" i="2"/>
  <c r="L30" i="2" s="1"/>
  <c r="K18" i="2"/>
  <c r="K30" i="2" s="1"/>
  <c r="AI77" i="1" l="1"/>
  <c r="AQ57" i="1"/>
  <c r="BD18" i="1"/>
  <c r="AM18" i="1" s="1"/>
  <c r="BD23" i="1"/>
  <c r="BD19" i="1"/>
  <c r="AI19" i="1" s="1"/>
  <c r="BD17" i="1"/>
  <c r="AI17" i="1" s="1"/>
  <c r="BD20" i="1"/>
  <c r="AM20" i="1" s="1"/>
  <c r="BD22" i="1"/>
  <c r="L40" i="2"/>
  <c r="M11" i="2"/>
  <c r="L73" i="2" s="1"/>
  <c r="L36" i="2"/>
  <c r="N12" i="2"/>
  <c r="L77" i="2" s="1"/>
  <c r="L37" i="2"/>
  <c r="L34" i="2"/>
  <c r="L38" i="2"/>
  <c r="L42" i="2"/>
  <c r="L31" i="2"/>
  <c r="M13" i="2"/>
  <c r="L79" i="2" s="1"/>
  <c r="L32" i="2"/>
  <c r="N10" i="2"/>
  <c r="L71" i="2" s="1"/>
  <c r="AI82" i="1" l="1"/>
  <c r="AM82" i="1"/>
  <c r="AI89" i="1"/>
  <c r="AQ89" i="1" s="1"/>
  <c r="AM89" i="1"/>
  <c r="AI86" i="1"/>
  <c r="AM86" i="1"/>
  <c r="AI80" i="1"/>
  <c r="AQ80" i="1" s="1"/>
  <c r="AM80" i="1"/>
  <c r="AI84" i="1"/>
  <c r="AM84" i="1"/>
  <c r="AI85" i="1"/>
  <c r="AQ85" i="1" s="1"/>
  <c r="AM85" i="1"/>
  <c r="AI88" i="1"/>
  <c r="AM88" i="1"/>
  <c r="AI81" i="1"/>
  <c r="AQ81" i="1" s="1"/>
  <c r="AM81" i="1"/>
  <c r="AI83" i="1"/>
  <c r="AM83" i="1"/>
  <c r="AI87" i="1"/>
  <c r="AQ87" i="1" s="1"/>
  <c r="AM87" i="1"/>
  <c r="AI18" i="1"/>
  <c r="AQ18" i="1" s="1"/>
  <c r="AM79" i="1"/>
  <c r="AI79" i="1"/>
  <c r="AI78" i="1"/>
  <c r="AM78" i="1"/>
  <c r="AM77" i="1"/>
  <c r="AI90" i="1"/>
  <c r="AM90" i="1"/>
  <c r="AQ19" i="1"/>
  <c r="AM19" i="1"/>
  <c r="AM17" i="1"/>
  <c r="AQ17" i="1" s="1"/>
  <c r="AI20" i="1"/>
  <c r="AQ20" i="1" s="1"/>
  <c r="AQ77" i="1" l="1"/>
  <c r="AQ79" i="1"/>
  <c r="AQ83" i="1"/>
  <c r="AQ88" i="1"/>
  <c r="AQ84" i="1"/>
  <c r="AQ86" i="1"/>
  <c r="AQ90" i="1"/>
  <c r="AQ82" i="1"/>
  <c r="AQ78" i="1"/>
  <c r="AQ96" i="1" l="1"/>
  <c r="AQ24" i="1" s="1"/>
  <c r="AQ44" i="1" s="1"/>
  <c r="AQ46" i="1" l="1"/>
  <c r="B46" i="1"/>
  <c r="AB57" i="1"/>
</calcChain>
</file>

<file path=xl/sharedStrings.xml><?xml version="1.0" encoding="utf-8"?>
<sst xmlns="http://schemas.openxmlformats.org/spreadsheetml/2006/main" count="587" uniqueCount="165">
  <si>
    <t>MILEAGE AND EXPENSE CLAIM</t>
  </si>
  <si>
    <t>Name</t>
  </si>
  <si>
    <t>E-Mail</t>
  </si>
  <si>
    <t>I am a</t>
  </si>
  <si>
    <t>DATE</t>
  </si>
  <si>
    <t>Pence per first 70 miles</t>
  </si>
  <si>
    <t>Pence after first 70 miles</t>
  </si>
  <si>
    <t>UoR salary exchange vehicle</t>
  </si>
  <si>
    <t>Motorcycle</t>
  </si>
  <si>
    <t>Make</t>
  </si>
  <si>
    <t>Model</t>
  </si>
  <si>
    <t>Engine size:</t>
  </si>
  <si>
    <t>Petrol</t>
  </si>
  <si>
    <t>LPG</t>
  </si>
  <si>
    <t>Diesel</t>
  </si>
  <si>
    <t>0 - 1400 cc</t>
  </si>
  <si>
    <t>14</t>
  </si>
  <si>
    <t>1401-1600 cc</t>
  </si>
  <si>
    <t>16</t>
  </si>
  <si>
    <t>11</t>
  </si>
  <si>
    <t>1601-2000 cc</t>
  </si>
  <si>
    <t>over 2000 cc</t>
  </si>
  <si>
    <t>24</t>
  </si>
  <si>
    <t>17</t>
  </si>
  <si>
    <t>p</t>
  </si>
  <si>
    <t>EXPENSE CLAIM</t>
  </si>
  <si>
    <t>DETAILS OF JOURNEY; To, from, reason for travel</t>
  </si>
  <si>
    <t>Personal/ Not a UoR salary exchange car</t>
  </si>
  <si>
    <t>Personal/ Not a UoR salary exchange vehicle</t>
  </si>
  <si>
    <t>Up to 70 miles</t>
  </si>
  <si>
    <t>Over 70 miles</t>
  </si>
  <si>
    <t>up to 70 miles</t>
  </si>
  <si>
    <t>UoR salary exchange car</t>
  </si>
  <si>
    <t>Mileage since 6 April including this claim</t>
  </si>
  <si>
    <t>Vehicle</t>
  </si>
  <si>
    <t>Engine</t>
  </si>
  <si>
    <t>Fuel</t>
  </si>
  <si>
    <t>Over 10k miles?</t>
  </si>
  <si>
    <t>No</t>
  </si>
  <si>
    <t>Yes</t>
  </si>
  <si>
    <t>Concatenated</t>
  </si>
  <si>
    <t xml:space="preserve">Voucher </t>
  </si>
  <si>
    <t>Expense claim</t>
  </si>
  <si>
    <t>Mileage claim</t>
  </si>
  <si>
    <t>Total mileage and expenses</t>
  </si>
  <si>
    <t>received by me on</t>
  </si>
  <si>
    <t xml:space="preserve">This claim relates to an advance of expenses amounting to </t>
  </si>
  <si>
    <t>Gross</t>
  </si>
  <si>
    <t>VAT</t>
  </si>
  <si>
    <t>Net</t>
  </si>
  <si>
    <t>Wren/Other</t>
  </si>
  <si>
    <t>Project</t>
  </si>
  <si>
    <t>Account</t>
  </si>
  <si>
    <t>DATE AUTHORISED:</t>
  </si>
  <si>
    <t>Claimant's signature</t>
  </si>
  <si>
    <t>DECLARATION - Head of School/Service or approved nominee</t>
  </si>
  <si>
    <t>DECLARATION - Claimant</t>
  </si>
  <si>
    <t>Signature of authorisor:</t>
  </si>
  <si>
    <t>Research Supervisor or grant/contract holder's signature</t>
  </si>
  <si>
    <t>Print name</t>
  </si>
  <si>
    <t>Address</t>
  </si>
  <si>
    <t>UK</t>
  </si>
  <si>
    <t>Finland</t>
  </si>
  <si>
    <t>Germany</t>
  </si>
  <si>
    <t>pence</t>
  </si>
  <si>
    <t>cents</t>
  </si>
  <si>
    <t>Car/Van</t>
  </si>
  <si>
    <t>up to 10,000 miles</t>
  </si>
  <si>
    <t>first 70 miles of a return journey</t>
  </si>
  <si>
    <t>remaining miles of that journey</t>
  </si>
  <si>
    <t>over 10,000 miles</t>
  </si>
  <si>
    <t>nil</t>
  </si>
  <si>
    <t>miles</t>
  </si>
  <si>
    <t>From any Reading campus to another Reading campus</t>
  </si>
  <si>
    <t>Between any Reading campus and the Henley campus</t>
  </si>
  <si>
    <t>Between any Reading campus and the Centre for Dairy Research (CEDAR)</t>
  </si>
  <si>
    <t>Between any Reading campus and Sonning Farm</t>
  </si>
  <si>
    <t>Between CEDAR and Sonning Farm</t>
  </si>
  <si>
    <t>Between Whiteknights campus and Worton Grange</t>
  </si>
  <si>
    <t>The mileage applies regardless of the direction of the journey.</t>
  </si>
  <si>
    <t>Mileage rates for personal/non UoR salary exchange cars</t>
  </si>
  <si>
    <t>Mileage rates for UoR salary exchange cars</t>
  </si>
  <si>
    <t>Fixed claimable distances between campuses (UK only)</t>
  </si>
  <si>
    <t>Allowable rates and intercampus distances</t>
  </si>
  <si>
    <t>VAT code</t>
  </si>
  <si>
    <t>Calculate distance</t>
  </si>
  <si>
    <t xml:space="preserve">BUSINESS MILEAGE CLAIM </t>
  </si>
  <si>
    <t>* mandatory</t>
  </si>
  <si>
    <t>*VEHICLE USED</t>
  </si>
  <si>
    <t>*Mileage claimed since 6 April up to last claim</t>
  </si>
  <si>
    <t>AMOUNT £</t>
  </si>
  <si>
    <t>ROUND TRIP MILES</t>
  </si>
  <si>
    <t>inserted to allow for non mandatory engine size  and fuel type cells on the form</t>
  </si>
  <si>
    <t xml:space="preserve"> MILES Claimed for</t>
  </si>
  <si>
    <t>PASSENGER ALLOWANCE; Name of member of staff, Journey</t>
  </si>
  <si>
    <t>Passenger allowance</t>
  </si>
  <si>
    <t>I would like to claim passenger allowances for the following persons who accompanied me for business purposes</t>
  </si>
  <si>
    <t>(these must be employees who are normally eligible to claim expenses from the University)</t>
  </si>
  <si>
    <t>available in respect of employees who have accompanied you and who can normally claim expenses from the University</t>
  </si>
  <si>
    <t>Miles travelled this claim</t>
  </si>
  <si>
    <t>Schedule of Rates</t>
  </si>
  <si>
    <t>Rates for Under 10,000 claimed in tax year</t>
  </si>
  <si>
    <t>Rates for over 10,000 claimed in the tax year</t>
  </si>
  <si>
    <r>
      <t xml:space="preserve">All possible combinations allowable by the expense claim - </t>
    </r>
    <r>
      <rPr>
        <b/>
        <i/>
        <sz val="11"/>
        <color theme="1"/>
        <rFont val="Calibri"/>
        <family val="2"/>
        <scheme val="minor"/>
      </rPr>
      <t>do not amend below this line</t>
    </r>
  </si>
  <si>
    <t>I have checked the supporting documentation of the items claimed and find them to be in accordance with the Financial Regulations and the policies on Travel, Other Expenses, Benefits, Hospitality and Gifts.</t>
  </si>
  <si>
    <t>I certify that the expenses detailed on this claim have been actually and necessarily incurred by me on the business of the University and are in accordance with the Financial Regulations and the policies on Travel, Other Expenses, Benefits, Hospitality and Gifts.  Any mileage allowance is claimed in respect of a vehicle for which the necessary insurance requirements are met. I agree that any discrepancies will be reimbursed by salary deduction.</t>
  </si>
  <si>
    <t>Version</t>
  </si>
  <si>
    <t>1.0</t>
  </si>
  <si>
    <t>Original form</t>
  </si>
  <si>
    <t>1.1</t>
  </si>
  <si>
    <t>Format account field for number with no decimal places</t>
  </si>
  <si>
    <t>Format sort code field to custom 99-99-99</t>
  </si>
  <si>
    <t>Change text in bank account section for staff and students</t>
  </si>
  <si>
    <t>change Whitekigts to Whiteknights</t>
  </si>
  <si>
    <t>1.2</t>
  </si>
  <si>
    <t>Format bank account/IBAN field to text (from numeric) to deal with IBANs starting with a zero</t>
  </si>
  <si>
    <t>1.3</t>
  </si>
  <si>
    <t>Format Building society roll field to text to deal with roll numbers starting with a zero</t>
  </si>
  <si>
    <t>1.4</t>
  </si>
  <si>
    <t>New leased car mileage rates from 1 Sept 2014</t>
  </si>
  <si>
    <t>Page 2 - Details of mileage claims</t>
  </si>
  <si>
    <t>Mileage claim from page 2</t>
  </si>
  <si>
    <t>Miles travelled this claim, from page 2</t>
  </si>
  <si>
    <t>Identifying text or reference for Agresso - maximum 50 characters</t>
  </si>
  <si>
    <t>DETAILS OF EXPENSE; Event, Location,Type, Reason for expense</t>
  </si>
  <si>
    <t>Additional notes - to allow the authorisor and Finance to better understand your claim</t>
  </si>
  <si>
    <t>The vehicle used, engine size and fuel type fields must be completed before the pence per mile field is populated</t>
  </si>
  <si>
    <t>2.0</t>
  </si>
  <si>
    <t>Additional wording on mileage sheet</t>
  </si>
  <si>
    <t>2.1</t>
  </si>
  <si>
    <t>Larger, purple, print buttons</t>
  </si>
  <si>
    <t>2.2</t>
  </si>
  <si>
    <t>Move print buttons as they were covering "Bldg society roll" text for visitors</t>
  </si>
  <si>
    <t>2.3</t>
  </si>
  <si>
    <t>New leased car mileage rates from 1 Dec 2014</t>
  </si>
  <si>
    <t>2.4</t>
  </si>
  <si>
    <t>New leased car mileage rates from 1 Mar 2015</t>
  </si>
  <si>
    <t>2.5</t>
  </si>
  <si>
    <t>New leased car mileage rates from 1 Apr 2015</t>
  </si>
  <si>
    <t>If you are claiming subsistence for day trips, please tick this box to confirm that each trip lasted more than 10 hours.</t>
  </si>
  <si>
    <t>The claimant must attach RECEIPTS FOR ALL ITEMS CLAIMED (AND PAGE 2 IF USED) and sign the form. Completed forms must be correctly authorised and sent to        Accounts Payable, Room 100, Whiteknights House, Whiteknights. Unauthorised and incorrectly completed forms will be returned and may delay payment of the claim.</t>
  </si>
  <si>
    <t>Full details of all journeys to be given on page 2 and appended to this claim</t>
  </si>
  <si>
    <t>FOR TRAVEL, SUBSISTENCE, ACCOMMODATION, PARKING, PETROL FOR HIRE CARS ETC.</t>
  </si>
  <si>
    <t>2.6</t>
  </si>
  <si>
    <t>Ticket box for over 10 hours</t>
  </si>
  <si>
    <t>2.7</t>
  </si>
  <si>
    <t>New leased car mileage rates from 1 June 2015</t>
  </si>
  <si>
    <t>2.8</t>
  </si>
  <si>
    <t>New leased car mileage rates from 1 September 2015</t>
  </si>
  <si>
    <t>2.9</t>
  </si>
  <si>
    <t>New leased car mileage rates from 1 December 2015</t>
  </si>
  <si>
    <t>Fix issue with IBAN field</t>
  </si>
  <si>
    <t>2.10</t>
  </si>
  <si>
    <t>New leased car mileage rates from 1 March 2016</t>
  </si>
  <si>
    <t>2.11</t>
  </si>
  <si>
    <t>New leased car mileage rates from 1 June 2016</t>
  </si>
  <si>
    <t xml:space="preserve">           </t>
  </si>
  <si>
    <t>Version 2.18 Mar 2018</t>
  </si>
  <si>
    <t>Stuart Patching</t>
  </si>
  <si>
    <t>student</t>
  </si>
  <si>
    <t>s.patching17@imperial.ac.uk</t>
  </si>
  <si>
    <t>More House, 53 Cromwell Road, London SW7 2EH</t>
  </si>
  <si>
    <t>Travel to and from Reading for Jamboree</t>
  </si>
  <si>
    <t>Accomodation in Reaading for Jamboree</t>
  </si>
  <si>
    <t>Food and Drink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</si>
</sst>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409]dd\-mmm\-yy;@"/>
    <numFmt numFmtId="166" formatCode="mmmm\ yyyy"/>
  </numFmts>
  <fonts count="32">
    <font>
      <sz val="11"/>
      <color theme="1"/>
      <name val="Calibri"/>
      <family val="2"/>
      <scheme val="minor"/>
    </font>
    <font>
      <sz val="11"/>
      <color rgb="FF9C6500"/>
      <name val="Calibri"/>
      <family val="2"/>
      <scheme val="minor"/>
    </font>
    <font>
      <b/>
      <sz val="11"/>
      <color theme="1"/>
      <name val="Calibri"/>
      <family val="2"/>
      <scheme val="minor"/>
    </font>
    <font>
      <b/>
      <sz val="12"/>
      <name val="Arial"/>
      <family val="2"/>
    </font>
    <font>
      <u/>
      <sz val="10"/>
      <color indexed="12"/>
      <name val="Arial"/>
      <family val="2"/>
    </font>
    <font>
      <u/>
      <sz val="8"/>
      <color indexed="12"/>
      <name val="Arial"/>
      <family val="2"/>
    </font>
    <font>
      <b/>
      <sz val="10"/>
      <name val="Arial"/>
      <family val="2"/>
    </font>
    <font>
      <b/>
      <sz val="8"/>
      <name val="Arial"/>
      <family val="2"/>
    </font>
    <font>
      <sz val="10"/>
      <name val="Arial"/>
      <family val="2"/>
    </font>
    <font>
      <sz val="10"/>
      <name val="Arial"/>
      <family val="2"/>
    </font>
    <font>
      <sz val="8"/>
      <name val="Arial"/>
      <family val="2"/>
    </font>
    <font>
      <b/>
      <sz val="11"/>
      <name val="Arial"/>
      <family val="2"/>
    </font>
    <font>
      <b/>
      <sz val="7"/>
      <name val="Arial"/>
      <family val="2"/>
    </font>
    <font>
      <b/>
      <sz val="12"/>
      <color theme="1"/>
      <name val="Calibri"/>
      <family val="2"/>
    </font>
    <font>
      <b/>
      <sz val="11"/>
      <color rgb="FF404040"/>
      <name val="Inherit"/>
    </font>
    <font>
      <sz val="8"/>
      <color theme="1"/>
      <name val="Calibri"/>
      <family val="2"/>
      <scheme val="minor"/>
    </font>
    <font>
      <sz val="11"/>
      <color theme="1"/>
      <name val="Arial"/>
      <family val="2"/>
    </font>
    <font>
      <sz val="8"/>
      <color theme="1"/>
      <name val="Arial"/>
      <family val="2"/>
    </font>
    <font>
      <sz val="10"/>
      <color theme="1"/>
      <name val="Arial"/>
      <family val="2"/>
    </font>
    <font>
      <b/>
      <sz val="11"/>
      <color theme="1"/>
      <name val="Arial"/>
      <family val="2"/>
    </font>
    <font>
      <sz val="11"/>
      <name val="Arial"/>
      <family val="2"/>
    </font>
    <font>
      <u/>
      <sz val="11"/>
      <color theme="1"/>
      <name val="Calibri"/>
      <family val="2"/>
      <scheme val="minor"/>
    </font>
    <font>
      <sz val="12"/>
      <color theme="1"/>
      <name val="Calibri"/>
      <family val="2"/>
    </font>
    <font>
      <b/>
      <u/>
      <sz val="11"/>
      <color theme="1"/>
      <name val="Calibri"/>
      <family val="2"/>
      <scheme val="minor"/>
    </font>
    <font>
      <u/>
      <sz val="9"/>
      <color indexed="12"/>
      <name val="Arial"/>
      <family val="2"/>
    </font>
    <font>
      <sz val="8"/>
      <color rgb="FFFF0000"/>
      <name val="Arial"/>
      <family val="2"/>
    </font>
    <font>
      <b/>
      <u/>
      <sz val="12"/>
      <color theme="1"/>
      <name val="Calibri"/>
      <family val="2"/>
    </font>
    <font>
      <i/>
      <sz val="11"/>
      <color theme="1"/>
      <name val="Calibri"/>
      <family val="2"/>
      <scheme val="minor"/>
    </font>
    <font>
      <b/>
      <i/>
      <sz val="11"/>
      <color theme="1"/>
      <name val="Calibri"/>
      <family val="2"/>
      <scheme val="minor"/>
    </font>
    <font>
      <b/>
      <sz val="12"/>
      <color theme="1"/>
      <name val="Calibri"/>
      <family val="2"/>
      <scheme val="minor"/>
    </font>
    <font>
      <b/>
      <sz val="10"/>
      <color rgb="FFFF0000"/>
      <name val="Arial"/>
      <family val="2"/>
    </font>
    <font>
      <b/>
      <sz val="8"/>
      <color rgb="FFFF0000"/>
      <name val="Arial"/>
      <family val="2"/>
    </font>
  </fonts>
  <fills count="9">
    <fill>
      <patternFill patternType="none"/>
    </fill>
    <fill>
      <patternFill patternType="gray125"/>
    </fill>
    <fill>
      <patternFill patternType="solid">
        <fgColor rgb="FFFFEB9C"/>
      </patternFill>
    </fill>
    <fill>
      <patternFill patternType="solid">
        <fgColor indexed="27"/>
        <bgColor indexed="64"/>
      </patternFill>
    </fill>
    <fill>
      <patternFill patternType="solid">
        <fgColor indexed="26"/>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39997558519241921"/>
        <bgColor indexed="64"/>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alignment vertical="top"/>
      <protection locked="0"/>
    </xf>
    <xf numFmtId="0" fontId="8" fillId="0" borderId="0"/>
  </cellStyleXfs>
  <cellXfs count="433">
    <xf numFmtId="0" fontId="0" fillId="0" borderId="0" xfId="0"/>
    <xf numFmtId="0" fontId="0" fillId="3" borderId="11" xfId="0" applyFill="1" applyBorder="1" applyAlignment="1" applyProtection="1">
      <alignment horizontal="left" vertical="center"/>
    </xf>
    <xf numFmtId="0" fontId="8" fillId="0" borderId="0" xfId="0" applyFont="1" applyProtection="1"/>
    <xf numFmtId="0" fontId="0" fillId="0" borderId="0" xfId="0" applyFont="1" applyProtection="1"/>
    <xf numFmtId="0" fontId="0" fillId="0" borderId="0" xfId="0" applyAlignment="1">
      <alignment horizontal="center"/>
    </xf>
    <xf numFmtId="0" fontId="0" fillId="0" borderId="0" xfId="0" applyProtection="1"/>
    <xf numFmtId="0" fontId="14" fillId="0" borderId="0" xfId="0" applyFont="1"/>
    <xf numFmtId="0" fontId="0" fillId="0" borderId="7" xfId="0" applyBorder="1" applyAlignment="1">
      <alignment horizontal="center"/>
    </xf>
    <xf numFmtId="0" fontId="0" fillId="0" borderId="0" xfId="0" applyAlignment="1">
      <alignment horizontal="right"/>
    </xf>
    <xf numFmtId="0" fontId="0" fillId="0" borderId="7" xfId="0" applyBorder="1" applyAlignment="1">
      <alignment wrapText="1"/>
    </xf>
    <xf numFmtId="164" fontId="7" fillId="3" borderId="9" xfId="0" applyNumberFormat="1" applyFont="1" applyFill="1" applyBorder="1" applyAlignment="1" applyProtection="1">
      <alignment vertical="center" shrinkToFit="1"/>
    </xf>
    <xf numFmtId="0" fontId="2" fillId="0" borderId="7" xfId="0" applyFont="1" applyBorder="1"/>
    <xf numFmtId="0" fontId="2" fillId="0" borderId="7" xfId="0" applyFont="1" applyBorder="1" applyAlignment="1">
      <alignment wrapText="1"/>
    </xf>
    <xf numFmtId="0" fontId="0" fillId="0" borderId="0" xfId="0" applyBorder="1" applyAlignment="1">
      <alignment wrapText="1"/>
    </xf>
    <xf numFmtId="0" fontId="0" fillId="0" borderId="0" xfId="0" applyBorder="1" applyAlignment="1">
      <alignment horizontal="center" wrapText="1"/>
    </xf>
    <xf numFmtId="0" fontId="2" fillId="0" borderId="7" xfId="0" applyFont="1" applyFill="1" applyBorder="1"/>
    <xf numFmtId="0" fontId="0" fillId="0" borderId="0" xfId="0" applyAlignment="1"/>
    <xf numFmtId="0" fontId="1" fillId="2" borderId="0" xfId="1" applyAlignment="1" applyProtection="1">
      <alignment horizontal="center"/>
    </xf>
    <xf numFmtId="0" fontId="1" fillId="2" borderId="0" xfId="1" applyAlignment="1">
      <alignment horizontal="center"/>
    </xf>
    <xf numFmtId="0" fontId="6" fillId="0" borderId="0" xfId="0" applyFont="1" applyAlignment="1" applyProtection="1"/>
    <xf numFmtId="0" fontId="0" fillId="0" borderId="7" xfId="0" applyBorder="1" applyAlignment="1">
      <alignment horizontal="center" wrapText="1"/>
    </xf>
    <xf numFmtId="0" fontId="23" fillId="0" borderId="0" xfId="0" applyFont="1"/>
    <xf numFmtId="0" fontId="0" fillId="0" borderId="0" xfId="0"/>
    <xf numFmtId="0" fontId="0" fillId="0" borderId="0" xfId="0" applyAlignment="1">
      <alignment horizontal="center"/>
    </xf>
    <xf numFmtId="0" fontId="2" fillId="0" borderId="0" xfId="0" applyFont="1" applyAlignment="1">
      <alignment horizontal="center"/>
    </xf>
    <xf numFmtId="0" fontId="0" fillId="0" borderId="2" xfId="0" applyBorder="1"/>
    <xf numFmtId="0" fontId="0" fillId="0" borderId="4" xfId="0" applyBorder="1"/>
    <xf numFmtId="0" fontId="0" fillId="0" borderId="0" xfId="0" applyBorder="1"/>
    <xf numFmtId="0" fontId="0" fillId="0" borderId="7" xfId="0" applyBorder="1"/>
    <xf numFmtId="0" fontId="0" fillId="0" borderId="2" xfId="0"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21" fillId="0" borderId="0" xfId="0" applyFont="1" applyAlignment="1">
      <alignment horizontal="center"/>
    </xf>
    <xf numFmtId="0" fontId="21" fillId="0" borderId="0" xfId="0" applyFont="1"/>
    <xf numFmtId="0" fontId="2" fillId="0" borderId="14" xfId="0" applyFont="1" applyBorder="1" applyAlignment="1">
      <alignment horizontal="center"/>
    </xf>
    <xf numFmtId="0" fontId="2" fillId="0" borderId="19" xfId="0" applyFont="1" applyBorder="1" applyAlignment="1">
      <alignment horizontal="center"/>
    </xf>
    <xf numFmtId="0" fontId="0" fillId="0" borderId="19" xfId="0" applyBorder="1"/>
    <xf numFmtId="0" fontId="0" fillId="0" borderId="14"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2" fillId="0" borderId="1" xfId="0" applyFont="1" applyBorder="1" applyAlignment="1">
      <alignment horizontal="center"/>
    </xf>
    <xf numFmtId="0" fontId="2" fillId="0" borderId="4" xfId="0" applyFont="1" applyBorder="1" applyAlignment="1">
      <alignment horizontal="center"/>
    </xf>
    <xf numFmtId="0" fontId="0" fillId="0" borderId="1"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22" fillId="0" borderId="0" xfId="0" applyFont="1" applyAlignment="1">
      <alignment vertical="center"/>
    </xf>
    <xf numFmtId="0" fontId="0" fillId="0" borderId="0" xfId="0" applyFill="1"/>
    <xf numFmtId="0" fontId="0" fillId="0" borderId="0" xfId="0" applyFill="1" applyAlignment="1">
      <alignment horizontal="center"/>
    </xf>
    <xf numFmtId="0" fontId="0" fillId="5" borderId="10" xfId="0" applyFill="1" applyBorder="1"/>
    <xf numFmtId="0" fontId="0" fillId="5" borderId="10" xfId="0" applyFill="1" applyBorder="1" applyAlignment="1">
      <alignment horizontal="center"/>
    </xf>
    <xf numFmtId="4" fontId="10" fillId="3" borderId="7" xfId="0" applyNumberFormat="1" applyFont="1" applyFill="1" applyBorder="1" applyAlignment="1" applyProtection="1">
      <alignment vertical="center"/>
    </xf>
    <xf numFmtId="4" fontId="10" fillId="3" borderId="8" xfId="0" applyNumberFormat="1" applyFont="1" applyFill="1" applyBorder="1" applyAlignment="1" applyProtection="1">
      <alignment vertical="center"/>
    </xf>
    <xf numFmtId="0" fontId="0" fillId="6" borderId="0" xfId="0" applyFill="1"/>
    <xf numFmtId="0" fontId="0" fillId="6" borderId="0" xfId="0" applyFill="1" applyAlignment="1">
      <alignment horizontal="right"/>
    </xf>
    <xf numFmtId="0" fontId="0" fillId="0" borderId="0" xfId="0" applyAlignment="1">
      <alignment horizontal="center"/>
    </xf>
    <xf numFmtId="0" fontId="0" fillId="3" borderId="3" xfId="0" applyFill="1" applyBorder="1" applyAlignment="1" applyProtection="1">
      <alignment horizontal="left" vertical="center"/>
    </xf>
    <xf numFmtId="0" fontId="0" fillId="3" borderId="8" xfId="0" applyFill="1" applyBorder="1" applyAlignment="1" applyProtection="1">
      <alignment horizontal="left" vertical="center"/>
    </xf>
    <xf numFmtId="0" fontId="0" fillId="0" borderId="0" xfId="0" applyFont="1"/>
    <xf numFmtId="0" fontId="26" fillId="0" borderId="0" xfId="0" applyFont="1" applyAlignment="1">
      <alignment vertical="center"/>
    </xf>
    <xf numFmtId="0" fontId="27" fillId="0" borderId="0" xfId="0" applyFont="1"/>
    <xf numFmtId="0" fontId="29" fillId="0" borderId="0" xfId="0" applyFont="1"/>
    <xf numFmtId="49" fontId="0" fillId="0" borderId="0" xfId="0" applyNumberFormat="1"/>
    <xf numFmtId="0" fontId="0" fillId="0" borderId="0" xfId="0" applyAlignment="1">
      <alignment horizontal="center"/>
    </xf>
    <xf numFmtId="0" fontId="0" fillId="0" borderId="0" xfId="0" applyAlignment="1">
      <alignment horizontal="center"/>
    </xf>
    <xf numFmtId="4" fontId="10" fillId="7" borderId="7" xfId="0" applyNumberFormat="1" applyFont="1" applyFill="1" applyBorder="1" applyAlignment="1" applyProtection="1">
      <alignment vertical="center"/>
    </xf>
    <xf numFmtId="4" fontId="10" fillId="7" borderId="8" xfId="0" applyNumberFormat="1" applyFont="1" applyFill="1" applyBorder="1" applyAlignment="1" applyProtection="1">
      <alignment vertical="center"/>
    </xf>
    <xf numFmtId="164" fontId="7" fillId="7" borderId="9" xfId="0" applyNumberFormat="1" applyFont="1" applyFill="1" applyBorder="1" applyAlignment="1" applyProtection="1">
      <alignment vertical="center" shrinkToFit="1"/>
    </xf>
    <xf numFmtId="0" fontId="0" fillId="7" borderId="11" xfId="0" applyFill="1" applyBorder="1" applyAlignment="1" applyProtection="1">
      <alignment horizontal="left" vertical="center"/>
    </xf>
    <xf numFmtId="0" fontId="0" fillId="7" borderId="8" xfId="0" applyFill="1" applyBorder="1" applyAlignment="1" applyProtection="1">
      <alignment horizontal="left" vertical="center"/>
    </xf>
    <xf numFmtId="0" fontId="7" fillId="7" borderId="9" xfId="0" applyFont="1" applyFill="1" applyBorder="1" applyAlignment="1" applyProtection="1">
      <alignment vertical="center"/>
    </xf>
    <xf numFmtId="0" fontId="7" fillId="7" borderId="10" xfId="0" applyFont="1" applyFill="1" applyBorder="1" applyAlignment="1" applyProtection="1">
      <alignment vertical="center"/>
    </xf>
    <xf numFmtId="0" fontId="0" fillId="7" borderId="0" xfId="0" applyFill="1" applyBorder="1" applyAlignment="1" applyProtection="1"/>
    <xf numFmtId="0" fontId="7" fillId="7" borderId="0" xfId="0" applyFont="1" applyFill="1" applyBorder="1" applyAlignment="1" applyProtection="1">
      <alignment vertical="center"/>
    </xf>
    <xf numFmtId="0" fontId="0" fillId="7" borderId="4" xfId="0" applyFill="1" applyBorder="1" applyAlignment="1" applyProtection="1"/>
    <xf numFmtId="0" fontId="0" fillId="7" borderId="5" xfId="0" applyFill="1" applyBorder="1" applyAlignment="1" applyProtection="1"/>
    <xf numFmtId="0" fontId="7" fillId="7" borderId="4" xfId="0" applyFont="1" applyFill="1" applyBorder="1" applyAlignment="1" applyProtection="1">
      <alignment vertical="center" wrapText="1"/>
    </xf>
    <xf numFmtId="0" fontId="7" fillId="7" borderId="0" xfId="0" applyFont="1" applyFill="1" applyBorder="1" applyAlignment="1" applyProtection="1">
      <alignment vertical="center" wrapText="1"/>
    </xf>
    <xf numFmtId="0" fontId="19" fillId="7" borderId="4" xfId="0" applyFont="1" applyFill="1" applyBorder="1" applyAlignment="1" applyProtection="1">
      <alignment horizontal="right"/>
    </xf>
    <xf numFmtId="0" fontId="19" fillId="7" borderId="0" xfId="0" applyFont="1" applyFill="1" applyBorder="1" applyAlignment="1" applyProtection="1">
      <alignment horizontal="right"/>
    </xf>
    <xf numFmtId="0" fontId="16" fillId="7" borderId="0" xfId="0" applyFont="1" applyFill="1" applyBorder="1" applyAlignment="1" applyProtection="1"/>
    <xf numFmtId="4" fontId="19" fillId="7" borderId="0" xfId="0" applyNumberFormat="1" applyFont="1" applyFill="1" applyBorder="1" applyAlignment="1" applyProtection="1">
      <alignment horizontal="right"/>
    </xf>
    <xf numFmtId="0" fontId="19" fillId="7" borderId="5" xfId="0" applyFont="1" applyFill="1" applyBorder="1" applyAlignment="1" applyProtection="1">
      <alignment horizontal="right"/>
    </xf>
    <xf numFmtId="0" fontId="0" fillId="7" borderId="4" xfId="0" applyFont="1" applyFill="1" applyBorder="1" applyAlignment="1" applyProtection="1"/>
    <xf numFmtId="0" fontId="16" fillId="7" borderId="0" xfId="0" applyFont="1" applyFill="1" applyBorder="1" applyAlignment="1" applyProtection="1">
      <alignment horizontal="right"/>
    </xf>
    <xf numFmtId="0" fontId="0" fillId="7" borderId="0" xfId="0" applyFont="1" applyFill="1" applyBorder="1" applyAlignment="1" applyProtection="1"/>
    <xf numFmtId="0" fontId="10" fillId="7" borderId="4" xfId="0" applyFont="1" applyFill="1" applyBorder="1" applyAlignment="1" applyProtection="1">
      <alignment vertical="center" wrapText="1"/>
    </xf>
    <xf numFmtId="0" fontId="10" fillId="7" borderId="0" xfId="0" applyFont="1" applyFill="1" applyBorder="1" applyAlignment="1" applyProtection="1">
      <alignment vertical="center" wrapText="1"/>
    </xf>
    <xf numFmtId="0" fontId="10" fillId="7" borderId="0" xfId="0" applyFont="1" applyFill="1" applyBorder="1" applyAlignment="1" applyProtection="1"/>
    <xf numFmtId="0" fontId="7" fillId="7" borderId="4" xfId="0" applyFont="1" applyFill="1" applyBorder="1" applyProtection="1"/>
    <xf numFmtId="0" fontId="10" fillId="7" borderId="0" xfId="0" applyFont="1" applyFill="1" applyBorder="1" applyProtection="1"/>
    <xf numFmtId="0" fontId="5" fillId="7" borderId="0" xfId="2" applyFont="1" applyFill="1" applyBorder="1" applyAlignment="1" applyProtection="1"/>
    <xf numFmtId="0" fontId="7" fillId="7" borderId="0" xfId="0" applyFont="1" applyFill="1" applyBorder="1" applyProtection="1"/>
    <xf numFmtId="0" fontId="10" fillId="7" borderId="5" xfId="0" applyFont="1" applyFill="1" applyBorder="1" applyAlignment="1" applyProtection="1"/>
    <xf numFmtId="0" fontId="10" fillId="7" borderId="0" xfId="0" applyFont="1" applyFill="1" applyBorder="1" applyAlignment="1" applyProtection="1">
      <alignment vertical="center"/>
    </xf>
    <xf numFmtId="0" fontId="0" fillId="7" borderId="0" xfId="0" applyFill="1" applyBorder="1" applyAlignment="1" applyProtection="1">
      <alignment vertical="center" wrapText="1"/>
    </xf>
    <xf numFmtId="0" fontId="7" fillId="7" borderId="7" xfId="0" applyFont="1" applyFill="1" applyBorder="1" applyAlignment="1" applyProtection="1">
      <alignment vertical="center"/>
    </xf>
    <xf numFmtId="0" fontId="7" fillId="7" borderId="8" xfId="0" applyFont="1" applyFill="1" applyBorder="1" applyAlignment="1" applyProtection="1">
      <alignment vertical="center"/>
    </xf>
    <xf numFmtId="0" fontId="0" fillId="0" borderId="0" xfId="0" applyBorder="1" applyProtection="1"/>
    <xf numFmtId="0" fontId="13" fillId="0" borderId="0" xfId="0" applyFont="1" applyBorder="1" applyAlignment="1">
      <alignment vertical="center"/>
    </xf>
    <xf numFmtId="0" fontId="7" fillId="7" borderId="5" xfId="0" applyFont="1" applyFill="1" applyBorder="1" applyAlignment="1" applyProtection="1">
      <alignment vertical="center"/>
    </xf>
    <xf numFmtId="0" fontId="7" fillId="7" borderId="0" xfId="0" applyFont="1" applyFill="1" applyBorder="1" applyAlignment="1" applyProtection="1">
      <alignment horizontal="center" vertical="center"/>
    </xf>
    <xf numFmtId="1" fontId="6" fillId="7" borderId="0" xfId="0" applyNumberFormat="1" applyFont="1" applyFill="1" applyBorder="1" applyAlignment="1" applyProtection="1">
      <alignment horizontal="center" vertical="center"/>
    </xf>
    <xf numFmtId="0" fontId="6" fillId="7" borderId="0" xfId="0" applyFont="1" applyFill="1" applyBorder="1" applyAlignment="1" applyProtection="1">
      <alignment horizontal="center" vertical="center"/>
    </xf>
    <xf numFmtId="4" fontId="8" fillId="7" borderId="0" xfId="0" applyNumberFormat="1" applyFont="1" applyFill="1" applyBorder="1" applyAlignment="1" applyProtection="1">
      <alignment horizontal="right" vertical="center" shrinkToFit="1"/>
    </xf>
    <xf numFmtId="0" fontId="8" fillId="7" borderId="0" xfId="0" applyFont="1" applyFill="1" applyBorder="1" applyAlignment="1" applyProtection="1">
      <alignment horizontal="right" vertical="center"/>
    </xf>
    <xf numFmtId="0" fontId="0" fillId="7" borderId="0" xfId="0" applyFill="1"/>
    <xf numFmtId="0" fontId="6" fillId="7" borderId="4" xfId="0" applyFont="1" applyFill="1" applyBorder="1" applyAlignment="1" applyProtection="1"/>
    <xf numFmtId="0" fontId="6" fillId="7" borderId="0" xfId="0" applyFont="1" applyFill="1" applyBorder="1" applyAlignment="1" applyProtection="1"/>
    <xf numFmtId="0" fontId="10" fillId="7" borderId="0" xfId="0" applyFont="1" applyFill="1" applyBorder="1" applyAlignment="1" applyProtection="1">
      <alignment horizontal="right" vertical="center"/>
    </xf>
    <xf numFmtId="0" fontId="10" fillId="7" borderId="0" xfId="0" applyFont="1" applyFill="1" applyBorder="1" applyAlignment="1" applyProtection="1">
      <alignment horizontal="left" vertical="center"/>
    </xf>
    <xf numFmtId="0" fontId="30" fillId="7" borderId="0" xfId="0" applyFont="1" applyFill="1" applyBorder="1" applyAlignment="1" applyProtection="1"/>
    <xf numFmtId="0" fontId="10" fillId="7" borderId="5" xfId="0" applyFont="1" applyFill="1" applyBorder="1" applyAlignment="1" applyProtection="1">
      <alignment horizontal="right" vertical="center"/>
    </xf>
    <xf numFmtId="166" fontId="0" fillId="0" borderId="0" xfId="0" applyNumberFormat="1"/>
    <xf numFmtId="0" fontId="7" fillId="7" borderId="2" xfId="0" applyFont="1" applyFill="1" applyBorder="1" applyAlignment="1" applyProtection="1">
      <alignment vertical="center"/>
    </xf>
    <xf numFmtId="0" fontId="7" fillId="7" borderId="2" xfId="0" applyFont="1" applyFill="1" applyBorder="1" applyAlignment="1" applyProtection="1">
      <alignment horizontal="right" vertical="center"/>
    </xf>
    <xf numFmtId="0" fontId="7" fillId="7" borderId="21" xfId="0" applyFont="1" applyFill="1" applyBorder="1" applyAlignment="1" applyProtection="1">
      <alignment vertical="center"/>
    </xf>
    <xf numFmtId="0" fontId="7" fillId="7" borderId="22" xfId="0" applyFont="1" applyFill="1" applyBorder="1" applyAlignment="1" applyProtection="1">
      <alignment vertical="center"/>
    </xf>
    <xf numFmtId="0" fontId="1" fillId="8" borderId="0" xfId="1" applyFill="1" applyAlignment="1" applyProtection="1">
      <alignment horizontal="center"/>
    </xf>
    <xf numFmtId="0" fontId="7" fillId="7" borderId="6" xfId="0" applyFont="1" applyFill="1" applyBorder="1" applyAlignment="1" applyProtection="1">
      <alignment wrapText="1"/>
    </xf>
    <xf numFmtId="0" fontId="0" fillId="0" borderId="7" xfId="0" applyBorder="1" applyAlignment="1">
      <alignment wrapText="1"/>
    </xf>
    <xf numFmtId="0" fontId="0" fillId="0" borderId="8" xfId="0" applyBorder="1" applyAlignment="1">
      <alignment wrapText="1"/>
    </xf>
    <xf numFmtId="0" fontId="30" fillId="7" borderId="4" xfId="0" applyFont="1" applyFill="1" applyBorder="1" applyAlignment="1" applyProtection="1">
      <alignment horizontal="center"/>
    </xf>
    <xf numFmtId="0" fontId="30" fillId="7" borderId="0" xfId="0" applyFont="1" applyFill="1" applyBorder="1" applyAlignment="1" applyProtection="1">
      <alignment horizontal="center"/>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3"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4" fontId="4" fillId="3" borderId="9" xfId="2" applyNumberFormat="1" applyFill="1" applyBorder="1" applyAlignment="1" applyProtection="1">
      <alignment horizontal="center" vertical="center" wrapText="1"/>
      <protection locked="0"/>
    </xf>
    <xf numFmtId="4" fontId="4" fillId="3" borderId="10" xfId="2" applyNumberFormat="1" applyFill="1" applyBorder="1" applyAlignment="1" applyProtection="1">
      <alignment horizontal="center" vertical="center" wrapText="1"/>
      <protection locked="0"/>
    </xf>
    <xf numFmtId="4" fontId="4" fillId="3" borderId="11" xfId="2" applyNumberFormat="1" applyFill="1" applyBorder="1" applyAlignment="1" applyProtection="1">
      <alignment horizontal="center" vertical="center" wrapText="1"/>
      <protection locked="0"/>
    </xf>
    <xf numFmtId="0" fontId="24" fillId="3" borderId="9" xfId="2" applyFont="1" applyFill="1" applyBorder="1" applyAlignment="1" applyProtection="1">
      <alignment horizontal="center" vertical="center" wrapText="1"/>
      <protection locked="0"/>
    </xf>
    <xf numFmtId="0" fontId="24" fillId="3" borderId="10" xfId="2" applyFont="1" applyFill="1" applyBorder="1" applyAlignment="1" applyProtection="1">
      <alignment horizontal="center" vertical="center" wrapText="1"/>
      <protection locked="0"/>
    </xf>
    <xf numFmtId="0" fontId="24" fillId="3" borderId="11" xfId="2" applyFont="1" applyFill="1" applyBorder="1" applyAlignment="1" applyProtection="1">
      <alignment horizontal="center" vertical="center" wrapText="1"/>
      <protection locked="0"/>
    </xf>
    <xf numFmtId="3" fontId="15" fillId="4" borderId="9" xfId="0" applyNumberFormat="1" applyFont="1" applyFill="1" applyBorder="1" applyAlignment="1" applyProtection="1">
      <alignment horizontal="center" vertical="center"/>
    </xf>
    <xf numFmtId="3" fontId="15" fillId="4" borderId="10" xfId="0" applyNumberFormat="1" applyFont="1" applyFill="1" applyBorder="1" applyAlignment="1" applyProtection="1">
      <alignment horizontal="center" vertical="center"/>
    </xf>
    <xf numFmtId="3" fontId="15" fillId="4" borderId="11" xfId="0" applyNumberFormat="1" applyFont="1" applyFill="1" applyBorder="1" applyAlignment="1" applyProtection="1">
      <alignment horizontal="center" vertical="center"/>
    </xf>
    <xf numFmtId="164" fontId="10" fillId="3" borderId="10" xfId="0" applyNumberFormat="1" applyFont="1" applyFill="1" applyBorder="1" applyAlignment="1" applyProtection="1">
      <alignment horizontal="center" vertical="center" wrapText="1" shrinkToFit="1"/>
    </xf>
    <xf numFmtId="164" fontId="10" fillId="3" borderId="11" xfId="0" applyNumberFormat="1" applyFont="1" applyFill="1" applyBorder="1" applyAlignment="1" applyProtection="1">
      <alignment horizontal="center" vertical="center" wrapText="1" shrinkToFit="1"/>
    </xf>
    <xf numFmtId="3" fontId="15" fillId="4" borderId="9" xfId="0" applyNumberFormat="1" applyFont="1" applyFill="1" applyBorder="1" applyAlignment="1" applyProtection="1">
      <alignment horizontal="center" vertical="center"/>
      <protection locked="0"/>
    </xf>
    <xf numFmtId="3" fontId="15" fillId="4" borderId="10" xfId="0" applyNumberFormat="1" applyFont="1" applyFill="1" applyBorder="1" applyAlignment="1" applyProtection="1">
      <alignment horizontal="center" vertical="center"/>
      <protection locked="0"/>
    </xf>
    <xf numFmtId="3" fontId="15" fillId="4" borderId="11" xfId="0" applyNumberFormat="1" applyFont="1" applyFill="1" applyBorder="1" applyAlignment="1" applyProtection="1">
      <alignment horizontal="center" vertical="center"/>
      <protection locked="0"/>
    </xf>
    <xf numFmtId="164" fontId="7" fillId="3" borderId="9" xfId="0" applyNumberFormat="1" applyFont="1" applyFill="1" applyBorder="1" applyAlignment="1" applyProtection="1">
      <alignment horizontal="center" vertical="center" wrapText="1" shrinkToFit="1"/>
    </xf>
    <xf numFmtId="164" fontId="7" fillId="3" borderId="10" xfId="0" applyNumberFormat="1" applyFont="1" applyFill="1" applyBorder="1" applyAlignment="1" applyProtection="1">
      <alignment horizontal="center" vertical="center" wrapText="1" shrinkToFit="1"/>
    </xf>
    <xf numFmtId="164" fontId="7" fillId="3" borderId="11" xfId="0" applyNumberFormat="1" applyFont="1" applyFill="1" applyBorder="1" applyAlignment="1" applyProtection="1">
      <alignment horizontal="center" vertical="center" wrapText="1" shrinkToFit="1"/>
    </xf>
    <xf numFmtId="2" fontId="9" fillId="7" borderId="6" xfId="0" applyNumberFormat="1" applyFont="1" applyFill="1" applyBorder="1" applyAlignment="1" applyProtection="1">
      <alignment horizontal="right" vertical="center" shrinkToFit="1"/>
    </xf>
    <xf numFmtId="2" fontId="9" fillId="7" borderId="7" xfId="0" applyNumberFormat="1" applyFont="1" applyFill="1" applyBorder="1" applyAlignment="1" applyProtection="1">
      <alignment horizontal="right" vertical="center" shrinkToFit="1"/>
    </xf>
    <xf numFmtId="2" fontId="9" fillId="7" borderId="8" xfId="0" applyNumberFormat="1" applyFont="1" applyFill="1" applyBorder="1" applyAlignment="1" applyProtection="1">
      <alignment horizontal="right" vertical="center" shrinkToFit="1"/>
    </xf>
    <xf numFmtId="164" fontId="18" fillId="0" borderId="9" xfId="0" applyNumberFormat="1" applyFont="1" applyFill="1" applyBorder="1" applyAlignment="1" applyProtection="1">
      <alignment horizontal="center" vertical="center"/>
      <protection locked="0"/>
    </xf>
    <xf numFmtId="164" fontId="8" fillId="0" borderId="10" xfId="0" applyNumberFormat="1" applyFont="1" applyFill="1" applyBorder="1" applyAlignment="1" applyProtection="1">
      <alignment horizontal="center" vertical="center"/>
      <protection locked="0"/>
    </xf>
    <xf numFmtId="164" fontId="8" fillId="0" borderId="11" xfId="0" applyNumberFormat="1" applyFont="1" applyFill="1" applyBorder="1" applyAlignment="1" applyProtection="1">
      <alignment horizontal="center" vertical="center"/>
      <protection locked="0"/>
    </xf>
    <xf numFmtId="0" fontId="8" fillId="0" borderId="9" xfId="0" applyFont="1" applyFill="1" applyBorder="1" applyAlignment="1" applyProtection="1">
      <alignment horizontal="left" vertical="center"/>
      <protection locked="0"/>
    </xf>
    <xf numFmtId="0" fontId="0" fillId="0" borderId="10" xfId="0" applyFill="1" applyBorder="1" applyAlignment="1" applyProtection="1">
      <alignment horizontal="left" vertical="center"/>
      <protection locked="0"/>
    </xf>
    <xf numFmtId="0" fontId="0" fillId="0" borderId="11" xfId="0" applyFill="1" applyBorder="1" applyAlignment="1" applyProtection="1">
      <alignment horizontal="left" vertical="center"/>
      <protection locked="0"/>
    </xf>
    <xf numFmtId="4" fontId="9" fillId="0" borderId="9" xfId="0" applyNumberFormat="1" applyFont="1" applyFill="1" applyBorder="1" applyAlignment="1" applyProtection="1">
      <alignment horizontal="right" vertical="center"/>
      <protection locked="0"/>
    </xf>
    <xf numFmtId="4" fontId="9" fillId="0" borderId="10" xfId="0" applyNumberFormat="1" applyFont="1" applyFill="1" applyBorder="1" applyAlignment="1" applyProtection="1">
      <alignment horizontal="right" vertical="center"/>
      <protection locked="0"/>
    </xf>
    <xf numFmtId="4" fontId="9" fillId="0" borderId="11" xfId="0" applyNumberFormat="1" applyFont="1" applyFill="1" applyBorder="1" applyAlignment="1" applyProtection="1">
      <alignment horizontal="right" vertical="center"/>
      <protection locked="0"/>
    </xf>
    <xf numFmtId="1" fontId="9" fillId="0" borderId="9" xfId="0" applyNumberFormat="1" applyFont="1" applyFill="1" applyBorder="1" applyAlignment="1" applyProtection="1">
      <alignment horizontal="center" vertical="center" shrinkToFit="1"/>
      <protection locked="0"/>
    </xf>
    <xf numFmtId="1" fontId="9" fillId="0" borderId="10" xfId="0" applyNumberFormat="1" applyFont="1" applyFill="1" applyBorder="1" applyAlignment="1" applyProtection="1">
      <alignment horizontal="center" vertical="center" shrinkToFit="1"/>
      <protection locked="0"/>
    </xf>
    <xf numFmtId="1" fontId="9" fillId="0" borderId="11" xfId="0" applyNumberFormat="1" applyFont="1" applyFill="1" applyBorder="1" applyAlignment="1" applyProtection="1">
      <alignment horizontal="center" vertical="center" shrinkToFit="1"/>
      <protection locked="0"/>
    </xf>
    <xf numFmtId="0" fontId="8" fillId="7" borderId="6" xfId="0" applyFont="1" applyFill="1" applyBorder="1" applyAlignment="1" applyProtection="1">
      <alignment horizontal="right" vertical="center"/>
    </xf>
    <xf numFmtId="0" fontId="8" fillId="7" borderId="7" xfId="0" applyFont="1" applyFill="1" applyBorder="1" applyAlignment="1" applyProtection="1">
      <alignment horizontal="right" vertical="center"/>
    </xf>
    <xf numFmtId="0" fontId="8" fillId="7" borderId="9" xfId="0" applyFont="1" applyFill="1" applyBorder="1" applyAlignment="1" applyProtection="1">
      <alignment horizontal="right" vertical="center"/>
    </xf>
    <xf numFmtId="0" fontId="8" fillId="7" borderId="10" xfId="0" applyFont="1" applyFill="1" applyBorder="1" applyAlignment="1" applyProtection="1">
      <alignment horizontal="right" vertical="center"/>
    </xf>
    <xf numFmtId="14" fontId="10" fillId="4" borderId="6" xfId="0" applyNumberFormat="1" applyFont="1" applyFill="1" applyBorder="1" applyAlignment="1" applyProtection="1">
      <alignment horizontal="center" shrinkToFit="1"/>
      <protection locked="0"/>
    </xf>
    <xf numFmtId="14" fontId="10" fillId="4" borderId="7" xfId="0" applyNumberFormat="1" applyFont="1" applyFill="1" applyBorder="1" applyAlignment="1" applyProtection="1">
      <alignment horizontal="center" shrinkToFit="1"/>
      <protection locked="0"/>
    </xf>
    <xf numFmtId="14" fontId="10" fillId="4" borderId="8" xfId="0" applyNumberFormat="1" applyFont="1" applyFill="1" applyBorder="1" applyAlignment="1" applyProtection="1">
      <alignment horizontal="center" shrinkToFit="1"/>
      <protection locked="0"/>
    </xf>
    <xf numFmtId="0" fontId="7" fillId="3" borderId="6" xfId="0" applyFont="1" applyFill="1" applyBorder="1" applyAlignment="1" applyProtection="1">
      <alignment horizontal="right" vertical="center" shrinkToFit="1"/>
    </xf>
    <xf numFmtId="0" fontId="7" fillId="3" borderId="7" xfId="0" applyFont="1" applyFill="1" applyBorder="1" applyAlignment="1" applyProtection="1">
      <alignment horizontal="right" vertical="center" shrinkToFit="1"/>
    </xf>
    <xf numFmtId="0" fontId="7" fillId="3" borderId="8" xfId="0" applyFont="1" applyFill="1" applyBorder="1" applyAlignment="1" applyProtection="1">
      <alignment horizontal="right" vertical="center" shrinkToFit="1"/>
    </xf>
    <xf numFmtId="0" fontId="10" fillId="4" borderId="9" xfId="0" applyFont="1" applyFill="1" applyBorder="1" applyAlignment="1" applyProtection="1">
      <alignment shrinkToFit="1"/>
      <protection locked="0"/>
    </xf>
    <xf numFmtId="0" fontId="10" fillId="4" borderId="10" xfId="0" applyFont="1" applyFill="1" applyBorder="1" applyAlignment="1" applyProtection="1">
      <alignment shrinkToFit="1"/>
      <protection locked="0"/>
    </xf>
    <xf numFmtId="0" fontId="10" fillId="4" borderId="7" xfId="0" applyFont="1" applyFill="1" applyBorder="1" applyAlignment="1" applyProtection="1">
      <alignment shrinkToFit="1"/>
      <protection locked="0"/>
    </xf>
    <xf numFmtId="0" fontId="10" fillId="4" borderId="8" xfId="0" applyFont="1" applyFill="1" applyBorder="1" applyAlignment="1" applyProtection="1">
      <alignment shrinkToFit="1"/>
      <protection locked="0"/>
    </xf>
    <xf numFmtId="0" fontId="10" fillId="3" borderId="9" xfId="0" applyFont="1" applyFill="1" applyBorder="1" applyAlignment="1" applyProtection="1">
      <alignment horizontal="right" vertical="center" shrinkToFit="1"/>
    </xf>
    <xf numFmtId="0" fontId="10" fillId="3" borderId="11" xfId="0" applyFont="1" applyFill="1" applyBorder="1" applyAlignment="1" applyProtection="1">
      <alignment horizontal="right" vertical="center" shrinkToFit="1"/>
    </xf>
    <xf numFmtId="0" fontId="10" fillId="4" borderId="11" xfId="0" applyFont="1" applyFill="1" applyBorder="1" applyAlignment="1" applyProtection="1">
      <alignment shrinkToFit="1"/>
      <protection locked="0"/>
    </xf>
    <xf numFmtId="164" fontId="9" fillId="0" borderId="9" xfId="0" applyNumberFormat="1" applyFont="1" applyFill="1" applyBorder="1" applyAlignment="1" applyProtection="1">
      <alignment vertical="center"/>
      <protection locked="0"/>
    </xf>
    <xf numFmtId="164" fontId="9" fillId="0" borderId="10" xfId="0" applyNumberFormat="1" applyFont="1" applyFill="1" applyBorder="1" applyAlignment="1" applyProtection="1">
      <alignment vertical="center"/>
      <protection locked="0"/>
    </xf>
    <xf numFmtId="164" fontId="9" fillId="0" borderId="11" xfId="0" applyNumberFormat="1" applyFont="1" applyFill="1" applyBorder="1" applyAlignment="1" applyProtection="1">
      <alignment vertical="center"/>
      <protection locked="0"/>
    </xf>
    <xf numFmtId="0" fontId="8" fillId="0" borderId="9" xfId="0" applyFont="1" applyFill="1" applyBorder="1" applyAlignment="1" applyProtection="1">
      <alignment horizontal="left" vertical="center" shrinkToFit="1"/>
      <protection locked="0"/>
    </xf>
    <xf numFmtId="0" fontId="8" fillId="0" borderId="10" xfId="0" applyFont="1" applyFill="1" applyBorder="1" applyAlignment="1" applyProtection="1">
      <alignment horizontal="left" vertical="center" shrinkToFit="1"/>
      <protection locked="0"/>
    </xf>
    <xf numFmtId="0" fontId="8" fillId="0" borderId="11" xfId="0" applyFont="1" applyFill="1" applyBorder="1" applyAlignment="1" applyProtection="1">
      <alignment horizontal="left" vertical="center" shrinkToFit="1"/>
      <protection locked="0"/>
    </xf>
    <xf numFmtId="0" fontId="7" fillId="7" borderId="1" xfId="0" applyFont="1" applyFill="1" applyBorder="1" applyAlignment="1" applyProtection="1">
      <alignment horizontal="center" vertical="center"/>
    </xf>
    <xf numFmtId="0" fontId="7" fillId="7" borderId="2" xfId="0" applyFont="1" applyFill="1" applyBorder="1" applyAlignment="1" applyProtection="1">
      <alignment horizontal="center" vertical="center"/>
    </xf>
    <xf numFmtId="0" fontId="7" fillId="7" borderId="3" xfId="0" applyFont="1" applyFill="1" applyBorder="1" applyAlignment="1" applyProtection="1">
      <alignment horizontal="center" vertical="center"/>
    </xf>
    <xf numFmtId="0" fontId="9" fillId="0" borderId="9" xfId="0" applyFont="1" applyFill="1" applyBorder="1" applyAlignment="1" applyProtection="1">
      <alignment horizontal="left" vertical="center"/>
      <protection locked="0"/>
    </xf>
    <xf numFmtId="2" fontId="9" fillId="7" borderId="9" xfId="0" applyNumberFormat="1" applyFont="1" applyFill="1" applyBorder="1" applyAlignment="1" applyProtection="1">
      <alignment horizontal="right" vertical="center" shrinkToFit="1"/>
    </xf>
    <xf numFmtId="2" fontId="9" fillId="7" borderId="10" xfId="0" applyNumberFormat="1" applyFont="1" applyFill="1" applyBorder="1" applyAlignment="1" applyProtection="1">
      <alignment horizontal="right" vertical="center" shrinkToFit="1"/>
    </xf>
    <xf numFmtId="2" fontId="9" fillId="7" borderId="11" xfId="0" applyNumberFormat="1" applyFont="1" applyFill="1" applyBorder="1" applyAlignment="1" applyProtection="1">
      <alignment horizontal="right" vertical="center" shrinkToFit="1"/>
    </xf>
    <xf numFmtId="2" fontId="9" fillId="7" borderId="1" xfId="0" applyNumberFormat="1" applyFont="1" applyFill="1" applyBorder="1" applyAlignment="1" applyProtection="1">
      <alignment horizontal="right" vertical="center" shrinkToFit="1"/>
    </xf>
    <xf numFmtId="2" fontId="9" fillId="7" borderId="2" xfId="0" applyNumberFormat="1" applyFont="1" applyFill="1" applyBorder="1" applyAlignment="1" applyProtection="1">
      <alignment horizontal="right" vertical="center" shrinkToFit="1"/>
    </xf>
    <xf numFmtId="2" fontId="9" fillId="7" borderId="3" xfId="0" applyNumberFormat="1" applyFont="1" applyFill="1" applyBorder="1" applyAlignment="1" applyProtection="1">
      <alignment horizontal="right" vertical="center" shrinkToFit="1"/>
    </xf>
    <xf numFmtId="0" fontId="7" fillId="7" borderId="10" xfId="0" applyFont="1" applyFill="1" applyBorder="1" applyAlignment="1" applyProtection="1">
      <alignment horizontal="center" vertical="center"/>
    </xf>
    <xf numFmtId="0" fontId="7" fillId="7" borderId="11" xfId="0" applyFont="1" applyFill="1" applyBorder="1" applyAlignment="1" applyProtection="1">
      <alignment horizontal="center" vertical="center"/>
    </xf>
    <xf numFmtId="1" fontId="6" fillId="7" borderId="9" xfId="0" applyNumberFormat="1" applyFont="1" applyFill="1" applyBorder="1" applyAlignment="1" applyProtection="1">
      <alignment horizontal="center" vertical="center"/>
    </xf>
    <xf numFmtId="0" fontId="6" fillId="7" borderId="10" xfId="0" applyFont="1" applyFill="1" applyBorder="1" applyAlignment="1" applyProtection="1">
      <alignment horizontal="center" vertical="center"/>
    </xf>
    <xf numFmtId="0" fontId="6" fillId="7" borderId="11" xfId="0" applyFont="1" applyFill="1" applyBorder="1" applyAlignment="1" applyProtection="1">
      <alignment horizontal="center" vertical="center"/>
    </xf>
    <xf numFmtId="4" fontId="8" fillId="7" borderId="9" xfId="0" applyNumberFormat="1" applyFont="1" applyFill="1" applyBorder="1" applyAlignment="1" applyProtection="1">
      <alignment horizontal="right" vertical="center" shrinkToFit="1"/>
    </xf>
    <xf numFmtId="0" fontId="8" fillId="7" borderId="11" xfId="0" applyFont="1" applyFill="1" applyBorder="1" applyAlignment="1" applyProtection="1">
      <alignment horizontal="right" vertical="center"/>
    </xf>
    <xf numFmtId="0" fontId="12" fillId="7" borderId="7" xfId="0" applyFont="1" applyFill="1" applyBorder="1" applyAlignment="1" applyProtection="1">
      <alignment horizontal="center" vertical="center" wrapText="1"/>
    </xf>
    <xf numFmtId="0" fontId="8" fillId="7" borderId="7" xfId="0" applyFont="1" applyFill="1" applyBorder="1" applyAlignment="1" applyProtection="1">
      <alignment horizontal="center" vertical="center"/>
    </xf>
    <xf numFmtId="2" fontId="9" fillId="7" borderId="7" xfId="0" applyNumberFormat="1" applyFont="1" applyFill="1" applyBorder="1" applyAlignment="1" applyProtection="1">
      <alignment horizontal="center" vertical="center" shrinkToFit="1"/>
    </xf>
    <xf numFmtId="164" fontId="18" fillId="0" borderId="6" xfId="0" applyNumberFormat="1" applyFont="1" applyFill="1" applyBorder="1" applyAlignment="1" applyProtection="1">
      <alignment horizontal="center" vertical="center"/>
      <protection locked="0"/>
    </xf>
    <xf numFmtId="164" fontId="8" fillId="0" borderId="7" xfId="0" applyNumberFormat="1" applyFont="1" applyFill="1" applyBorder="1" applyAlignment="1" applyProtection="1">
      <alignment horizontal="center" vertical="center"/>
      <protection locked="0"/>
    </xf>
    <xf numFmtId="164" fontId="8" fillId="0" borderId="8" xfId="0" applyNumberFormat="1" applyFont="1" applyFill="1" applyBorder="1" applyAlignment="1" applyProtection="1">
      <alignment horizontal="center" vertical="center"/>
      <protection locked="0"/>
    </xf>
    <xf numFmtId="0" fontId="8" fillId="0" borderId="6" xfId="0" applyFont="1" applyFill="1" applyBorder="1" applyAlignment="1" applyProtection="1">
      <alignment horizontal="left" vertical="center"/>
      <protection locked="0"/>
    </xf>
    <xf numFmtId="0" fontId="0" fillId="0" borderId="7" xfId="0" applyFill="1" applyBorder="1" applyAlignment="1" applyProtection="1">
      <alignment horizontal="left" vertical="center"/>
      <protection locked="0"/>
    </xf>
    <xf numFmtId="0" fontId="0" fillId="0" borderId="8" xfId="0" applyFill="1" applyBorder="1" applyAlignment="1" applyProtection="1">
      <alignment horizontal="left" vertical="center"/>
      <protection locked="0"/>
    </xf>
    <xf numFmtId="1" fontId="9" fillId="0" borderId="6" xfId="0" applyNumberFormat="1" applyFont="1" applyFill="1" applyBorder="1" applyAlignment="1" applyProtection="1">
      <alignment horizontal="center" vertical="center" shrinkToFit="1"/>
      <protection locked="0"/>
    </xf>
    <xf numFmtId="1" fontId="9" fillId="0" borderId="7" xfId="0" applyNumberFormat="1" applyFont="1" applyFill="1" applyBorder="1" applyAlignment="1" applyProtection="1">
      <alignment horizontal="center" vertical="center" shrinkToFit="1"/>
      <protection locked="0"/>
    </xf>
    <xf numFmtId="1" fontId="9" fillId="0" borderId="8" xfId="0" applyNumberFormat="1" applyFont="1" applyFill="1" applyBorder="1" applyAlignment="1" applyProtection="1">
      <alignment horizontal="center" vertical="center" shrinkToFit="1"/>
      <protection locked="0"/>
    </xf>
    <xf numFmtId="164" fontId="7" fillId="7" borderId="9" xfId="0" applyNumberFormat="1" applyFont="1" applyFill="1" applyBorder="1" applyAlignment="1" applyProtection="1">
      <alignment horizontal="center" vertical="center" wrapText="1" shrinkToFit="1"/>
    </xf>
    <xf numFmtId="164" fontId="7" fillId="7" borderId="10" xfId="0" applyNumberFormat="1" applyFont="1" applyFill="1" applyBorder="1" applyAlignment="1" applyProtection="1">
      <alignment horizontal="center" vertical="center" wrapText="1" shrinkToFit="1"/>
    </xf>
    <xf numFmtId="164" fontId="7" fillId="7" borderId="11" xfId="0" applyNumberFormat="1" applyFont="1" applyFill="1" applyBorder="1" applyAlignment="1" applyProtection="1">
      <alignment horizontal="center" vertical="center" wrapText="1" shrinkToFit="1"/>
    </xf>
    <xf numFmtId="3" fontId="15" fillId="0" borderId="9" xfId="0" applyNumberFormat="1" applyFont="1" applyFill="1" applyBorder="1" applyAlignment="1" applyProtection="1">
      <alignment horizontal="center" vertical="center"/>
      <protection locked="0"/>
    </xf>
    <xf numFmtId="3" fontId="10" fillId="0" borderId="10" xfId="0" applyNumberFormat="1" applyFont="1" applyFill="1" applyBorder="1" applyAlignment="1" applyProtection="1">
      <alignment horizontal="center" vertical="center"/>
      <protection locked="0"/>
    </xf>
    <xf numFmtId="3" fontId="10" fillId="0" borderId="11" xfId="0" applyNumberFormat="1" applyFont="1" applyFill="1" applyBorder="1" applyAlignment="1" applyProtection="1">
      <alignment horizontal="center" vertical="center"/>
      <protection locked="0"/>
    </xf>
    <xf numFmtId="164" fontId="10" fillId="7" borderId="10" xfId="0" applyNumberFormat="1" applyFont="1" applyFill="1" applyBorder="1" applyAlignment="1" applyProtection="1">
      <alignment horizontal="center" vertical="center" wrapText="1" shrinkToFit="1"/>
    </xf>
    <xf numFmtId="164" fontId="10" fillId="7" borderId="11" xfId="0" applyNumberFormat="1" applyFont="1" applyFill="1" applyBorder="1" applyAlignment="1" applyProtection="1">
      <alignment horizontal="center" vertical="center" wrapText="1" shrinkToFit="1"/>
    </xf>
    <xf numFmtId="3" fontId="15" fillId="0" borderId="9" xfId="0" applyNumberFormat="1" applyFont="1" applyFill="1" applyBorder="1" applyAlignment="1" applyProtection="1">
      <alignment horizontal="center" vertical="center"/>
    </xf>
    <xf numFmtId="3" fontId="10" fillId="0" borderId="10" xfId="0" applyNumberFormat="1" applyFont="1" applyFill="1" applyBorder="1" applyAlignment="1" applyProtection="1">
      <alignment horizontal="center" vertical="center"/>
    </xf>
    <xf numFmtId="3" fontId="10" fillId="0" borderId="11" xfId="0" applyNumberFormat="1" applyFont="1" applyFill="1" applyBorder="1" applyAlignment="1" applyProtection="1">
      <alignment horizontal="center" vertical="center"/>
    </xf>
    <xf numFmtId="0" fontId="24" fillId="7" borderId="9" xfId="2" applyFont="1" applyFill="1" applyBorder="1" applyAlignment="1" applyProtection="1">
      <alignment horizontal="center" vertical="center" wrapText="1"/>
      <protection locked="0"/>
    </xf>
    <xf numFmtId="0" fontId="24" fillId="7" borderId="10" xfId="2" applyFont="1" applyFill="1" applyBorder="1" applyAlignment="1" applyProtection="1">
      <alignment horizontal="center" vertical="center" wrapText="1"/>
      <protection locked="0"/>
    </xf>
    <xf numFmtId="0" fontId="24" fillId="7" borderId="11" xfId="2" applyFont="1" applyFill="1" applyBorder="1" applyAlignment="1" applyProtection="1">
      <alignment horizontal="center" vertical="center" wrapText="1"/>
      <protection locked="0"/>
    </xf>
    <xf numFmtId="4" fontId="4" fillId="7" borderId="9" xfId="2" applyNumberFormat="1" applyFill="1" applyBorder="1" applyAlignment="1" applyProtection="1">
      <alignment horizontal="center" vertical="center" wrapText="1"/>
      <protection locked="0"/>
    </xf>
    <xf numFmtId="4" fontId="4" fillId="7" borderId="10" xfId="2" applyNumberFormat="1" applyFill="1" applyBorder="1" applyAlignment="1" applyProtection="1">
      <alignment horizontal="center" vertical="center" wrapText="1"/>
      <protection locked="0"/>
    </xf>
    <xf numFmtId="4" fontId="4" fillId="7" borderId="7" xfId="2" applyNumberFormat="1" applyFill="1" applyBorder="1" applyAlignment="1" applyProtection="1">
      <alignment horizontal="center" vertical="center" wrapText="1"/>
      <protection locked="0"/>
    </xf>
    <xf numFmtId="4" fontId="4" fillId="7" borderId="11" xfId="2" applyNumberFormat="1" applyFill="1" applyBorder="1" applyAlignment="1" applyProtection="1">
      <alignment horizontal="center" vertical="center" wrapText="1"/>
      <protection locked="0"/>
    </xf>
    <xf numFmtId="0" fontId="7" fillId="7" borderId="9" xfId="0" applyFont="1" applyFill="1" applyBorder="1" applyAlignment="1" applyProtection="1">
      <alignment horizontal="center" vertical="center"/>
    </xf>
    <xf numFmtId="0" fontId="7" fillId="7" borderId="7" xfId="0" applyFont="1" applyFill="1" applyBorder="1" applyAlignment="1" applyProtection="1">
      <alignment horizontal="center" vertical="center"/>
    </xf>
    <xf numFmtId="0" fontId="12" fillId="7" borderId="9" xfId="0" applyFont="1" applyFill="1" applyBorder="1" applyAlignment="1" applyProtection="1">
      <alignment horizontal="center" vertical="center" wrapText="1"/>
    </xf>
    <xf numFmtId="0" fontId="12" fillId="7" borderId="10" xfId="0" applyFont="1" applyFill="1" applyBorder="1" applyAlignment="1" applyProtection="1">
      <alignment horizontal="center" vertical="center" wrapText="1"/>
    </xf>
    <xf numFmtId="0" fontId="12" fillId="7" borderId="11" xfId="0" applyFont="1" applyFill="1" applyBorder="1" applyAlignment="1" applyProtection="1">
      <alignment horizontal="center" vertical="center" wrapText="1"/>
    </xf>
    <xf numFmtId="0" fontId="7" fillId="7" borderId="9" xfId="0" applyFont="1" applyFill="1" applyBorder="1" applyAlignment="1" applyProtection="1">
      <alignment horizontal="center" vertical="center" wrapText="1"/>
    </xf>
    <xf numFmtId="0" fontId="7" fillId="7" borderId="10" xfId="0" applyFont="1" applyFill="1" applyBorder="1" applyAlignment="1" applyProtection="1">
      <alignment horizontal="center" vertical="center" wrapText="1"/>
    </xf>
    <xf numFmtId="0" fontId="7" fillId="7" borderId="11" xfId="0" applyFont="1" applyFill="1" applyBorder="1" applyAlignment="1" applyProtection="1">
      <alignment horizontal="center" vertical="center" wrapText="1"/>
    </xf>
    <xf numFmtId="0" fontId="0" fillId="7" borderId="6" xfId="0" applyFill="1" applyBorder="1" applyAlignment="1" applyProtection="1">
      <alignment horizontal="left"/>
    </xf>
    <xf numFmtId="0" fontId="0" fillId="7" borderId="7" xfId="0" applyFill="1" applyBorder="1" applyAlignment="1" applyProtection="1">
      <alignment horizontal="left"/>
    </xf>
    <xf numFmtId="0" fontId="0" fillId="7" borderId="0" xfId="0" applyFill="1" applyBorder="1" applyAlignment="1" applyProtection="1">
      <alignment horizontal="left"/>
    </xf>
    <xf numFmtId="0" fontId="0" fillId="7" borderId="8" xfId="0" applyFill="1" applyBorder="1" applyAlignment="1" applyProtection="1">
      <alignment horizontal="left"/>
    </xf>
    <xf numFmtId="164" fontId="11" fillId="7" borderId="9" xfId="0" applyNumberFormat="1" applyFont="1" applyFill="1" applyBorder="1" applyAlignment="1" applyProtection="1">
      <alignment horizontal="left" vertical="center"/>
    </xf>
    <xf numFmtId="164" fontId="11" fillId="7" borderId="10" xfId="0" applyNumberFormat="1" applyFont="1" applyFill="1" applyBorder="1" applyAlignment="1" applyProtection="1">
      <alignment horizontal="left" vertical="center"/>
    </xf>
    <xf numFmtId="164" fontId="11" fillId="7" borderId="11" xfId="0" applyNumberFormat="1" applyFont="1" applyFill="1" applyBorder="1" applyAlignment="1" applyProtection="1">
      <alignment horizontal="left" vertical="center"/>
    </xf>
    <xf numFmtId="0" fontId="30" fillId="7" borderId="9" xfId="0" applyFont="1" applyFill="1" applyBorder="1" applyAlignment="1" applyProtection="1">
      <alignment horizontal="center" vertical="center"/>
    </xf>
    <xf numFmtId="0" fontId="30" fillId="7" borderId="10" xfId="0" applyFont="1" applyFill="1" applyBorder="1" applyAlignment="1" applyProtection="1">
      <alignment horizontal="center" vertical="center"/>
    </xf>
    <xf numFmtId="0" fontId="10" fillId="0" borderId="9" xfId="0" applyFont="1" applyFill="1" applyBorder="1" applyAlignment="1" applyProtection="1">
      <alignment horizontal="center" vertical="center" shrinkToFit="1"/>
      <protection locked="0"/>
    </xf>
    <xf numFmtId="0" fontId="10" fillId="0" borderId="10" xfId="0" applyFont="1" applyFill="1" applyBorder="1" applyAlignment="1" applyProtection="1">
      <alignment horizontal="center" vertical="center" shrinkToFit="1"/>
      <protection locked="0"/>
    </xf>
    <xf numFmtId="0" fontId="10" fillId="0" borderId="11" xfId="0" applyFont="1" applyFill="1" applyBorder="1" applyAlignment="1" applyProtection="1">
      <alignment horizontal="center" vertical="center" shrinkToFit="1"/>
      <protection locked="0"/>
    </xf>
    <xf numFmtId="4" fontId="31" fillId="7" borderId="10" xfId="0" applyNumberFormat="1" applyFont="1" applyFill="1" applyBorder="1" applyAlignment="1" applyProtection="1">
      <alignment horizontal="center" vertical="center"/>
    </xf>
    <xf numFmtId="4" fontId="31" fillId="7" borderId="11" xfId="0" applyNumberFormat="1" applyFont="1" applyFill="1" applyBorder="1" applyAlignment="1" applyProtection="1">
      <alignment horizontal="center" vertical="center"/>
    </xf>
    <xf numFmtId="0" fontId="10" fillId="7" borderId="9" xfId="0" applyFont="1" applyFill="1" applyBorder="1" applyAlignment="1" applyProtection="1">
      <alignment horizontal="right" vertical="center" shrinkToFit="1"/>
    </xf>
    <xf numFmtId="0" fontId="0" fillId="7" borderId="11" xfId="0" applyFont="1" applyFill="1" applyBorder="1" applyAlignment="1" applyProtection="1">
      <alignment horizontal="right" vertical="center" shrinkToFit="1"/>
    </xf>
    <xf numFmtId="0" fontId="10" fillId="0" borderId="9" xfId="0" applyFont="1" applyFill="1" applyBorder="1" applyAlignment="1" applyProtection="1">
      <alignment shrinkToFit="1"/>
      <protection locked="0"/>
    </xf>
    <xf numFmtId="0" fontId="10" fillId="0" borderId="10" xfId="0" applyFont="1" applyFill="1" applyBorder="1" applyAlignment="1" applyProtection="1">
      <alignment shrinkToFit="1"/>
      <protection locked="0"/>
    </xf>
    <xf numFmtId="0" fontId="10" fillId="0" borderId="11" xfId="0" applyFont="1" applyFill="1" applyBorder="1" applyAlignment="1" applyProtection="1">
      <alignment shrinkToFit="1"/>
      <protection locked="0"/>
    </xf>
    <xf numFmtId="0" fontId="31" fillId="7" borderId="9" xfId="0" applyFont="1" applyFill="1" applyBorder="1" applyAlignment="1" applyProtection="1">
      <alignment horizontal="center" vertical="center" shrinkToFit="1"/>
    </xf>
    <xf numFmtId="0" fontId="31" fillId="7" borderId="10" xfId="0" applyFont="1" applyFill="1" applyBorder="1" applyAlignment="1" applyProtection="1">
      <alignment horizontal="center" vertical="center" shrinkToFit="1"/>
    </xf>
    <xf numFmtId="0" fontId="31" fillId="7" borderId="11" xfId="0" applyFont="1" applyFill="1" applyBorder="1" applyAlignment="1" applyProtection="1">
      <alignment horizontal="center" vertical="center" shrinkToFit="1"/>
    </xf>
    <xf numFmtId="14" fontId="10" fillId="0" borderId="6" xfId="0" applyNumberFormat="1" applyFont="1" applyFill="1" applyBorder="1" applyAlignment="1" applyProtection="1">
      <alignment horizontal="center" shrinkToFit="1"/>
      <protection locked="0"/>
    </xf>
    <xf numFmtId="14" fontId="10" fillId="0" borderId="7" xfId="0" applyNumberFormat="1" applyFont="1" applyFill="1" applyBorder="1" applyAlignment="1" applyProtection="1">
      <alignment horizontal="center" shrinkToFit="1"/>
      <protection locked="0"/>
    </xf>
    <xf numFmtId="14" fontId="10" fillId="0" borderId="8" xfId="0" applyNumberFormat="1" applyFont="1" applyFill="1" applyBorder="1" applyAlignment="1" applyProtection="1">
      <alignment horizontal="center" shrinkToFit="1"/>
      <protection locked="0"/>
    </xf>
    <xf numFmtId="14" fontId="10" fillId="0" borderId="9" xfId="0" applyNumberFormat="1" applyFont="1" applyFill="1" applyBorder="1" applyAlignment="1" applyProtection="1">
      <alignment horizontal="center" shrinkToFit="1"/>
      <protection locked="0"/>
    </xf>
    <xf numFmtId="14" fontId="10" fillId="0" borderId="10" xfId="0" applyNumberFormat="1" applyFont="1" applyFill="1" applyBorder="1" applyAlignment="1" applyProtection="1">
      <alignment horizontal="center" shrinkToFit="1"/>
      <protection locked="0"/>
    </xf>
    <xf numFmtId="14" fontId="10" fillId="0" borderId="11" xfId="0" applyNumberFormat="1" applyFont="1" applyFill="1" applyBorder="1" applyAlignment="1" applyProtection="1">
      <alignment horizontal="center" shrinkToFit="1"/>
      <protection locked="0"/>
    </xf>
    <xf numFmtId="0" fontId="0" fillId="7" borderId="4" xfId="0" applyFill="1" applyBorder="1" applyAlignment="1" applyProtection="1"/>
    <xf numFmtId="0" fontId="0" fillId="7" borderId="0" xfId="0" applyFill="1" applyBorder="1" applyAlignment="1" applyProtection="1"/>
    <xf numFmtId="0" fontId="0" fillId="7" borderId="5" xfId="0" applyFill="1" applyBorder="1" applyAlignment="1" applyProtection="1"/>
    <xf numFmtId="0" fontId="3" fillId="7" borderId="1" xfId="0" applyFont="1" applyFill="1" applyBorder="1" applyAlignment="1" applyProtection="1">
      <alignment horizontal="left"/>
    </xf>
    <xf numFmtId="0" fontId="3" fillId="7" borderId="2" xfId="0" applyFont="1" applyFill="1" applyBorder="1" applyAlignment="1" applyProtection="1">
      <alignment horizontal="left"/>
    </xf>
    <xf numFmtId="0" fontId="3" fillId="7" borderId="3" xfId="0" applyFont="1" applyFill="1" applyBorder="1" applyAlignment="1" applyProtection="1">
      <alignment horizontal="left"/>
    </xf>
    <xf numFmtId="0" fontId="5" fillId="7" borderId="4" xfId="2" applyFont="1" applyFill="1" applyBorder="1" applyAlignment="1" applyProtection="1"/>
    <xf numFmtId="0" fontId="5" fillId="7" borderId="0" xfId="2" applyFont="1" applyFill="1" applyBorder="1" applyAlignment="1" applyProtection="1"/>
    <xf numFmtId="0" fontId="5" fillId="7" borderId="5" xfId="2" applyFont="1" applyFill="1" applyBorder="1" applyAlignment="1" applyProtection="1"/>
    <xf numFmtId="0" fontId="7" fillId="7" borderId="6" xfId="0" applyFont="1" applyFill="1" applyBorder="1" applyAlignment="1" applyProtection="1">
      <alignment horizontal="left" vertical="center"/>
    </xf>
    <xf numFmtId="0" fontId="7" fillId="7" borderId="7" xfId="0" applyFont="1" applyFill="1" applyBorder="1" applyAlignment="1" applyProtection="1">
      <alignment horizontal="left" vertical="center"/>
    </xf>
    <xf numFmtId="0" fontId="9" fillId="7" borderId="7" xfId="0" applyFont="1" applyFill="1" applyBorder="1" applyAlignment="1" applyProtection="1">
      <alignment horizontal="center" vertical="center"/>
    </xf>
    <xf numFmtId="0" fontId="7" fillId="7" borderId="0" xfId="0" applyFont="1" applyFill="1" applyBorder="1" applyAlignment="1" applyProtection="1">
      <alignment horizontal="right" wrapText="1"/>
    </xf>
    <xf numFmtId="0" fontId="7" fillId="7" borderId="0" xfId="0" applyFont="1" applyFill="1" applyBorder="1" applyAlignment="1" applyProtection="1">
      <alignment horizontal="right"/>
    </xf>
    <xf numFmtId="0" fontId="9" fillId="7" borderId="8" xfId="0" applyFont="1" applyFill="1" applyBorder="1" applyAlignment="1" applyProtection="1">
      <alignment horizontal="center" vertical="center"/>
    </xf>
    <xf numFmtId="165" fontId="10" fillId="0" borderId="7" xfId="0" applyNumberFormat="1" applyFont="1" applyFill="1" applyBorder="1" applyAlignment="1" applyProtection="1">
      <alignment horizontal="center" vertical="center" shrinkToFit="1"/>
      <protection locked="0"/>
    </xf>
    <xf numFmtId="165" fontId="10" fillId="0" borderId="10" xfId="0" applyNumberFormat="1" applyFont="1" applyFill="1" applyBorder="1" applyAlignment="1" applyProtection="1">
      <alignment horizontal="center" vertical="center" shrinkToFit="1"/>
      <protection locked="0"/>
    </xf>
    <xf numFmtId="165" fontId="10" fillId="0" borderId="11" xfId="0" applyNumberFormat="1" applyFont="1" applyFill="1" applyBorder="1" applyAlignment="1" applyProtection="1">
      <alignment horizontal="center" vertical="center" shrinkToFit="1"/>
      <protection locked="0"/>
    </xf>
    <xf numFmtId="2" fontId="9" fillId="3" borderId="1" xfId="0" applyNumberFormat="1" applyFont="1" applyFill="1" applyBorder="1" applyAlignment="1" applyProtection="1">
      <alignment horizontal="right" vertical="center" shrinkToFit="1"/>
    </xf>
    <xf numFmtId="2" fontId="9" fillId="3" borderId="2" xfId="0" applyNumberFormat="1" applyFont="1" applyFill="1" applyBorder="1" applyAlignment="1" applyProtection="1">
      <alignment horizontal="right" vertical="center" shrinkToFit="1"/>
    </xf>
    <xf numFmtId="2" fontId="9" fillId="3" borderId="3" xfId="0" applyNumberFormat="1" applyFont="1" applyFill="1" applyBorder="1" applyAlignment="1" applyProtection="1">
      <alignment horizontal="right" vertical="center" shrinkToFit="1"/>
    </xf>
    <xf numFmtId="1" fontId="8" fillId="0" borderId="9" xfId="0" applyNumberFormat="1" applyFont="1" applyFill="1" applyBorder="1" applyAlignment="1" applyProtection="1">
      <alignment horizontal="center" vertical="center"/>
      <protection locked="0"/>
    </xf>
    <xf numFmtId="1" fontId="8" fillId="0" borderId="10" xfId="0" applyNumberFormat="1" applyFont="1" applyFill="1" applyBorder="1" applyAlignment="1" applyProtection="1">
      <alignment horizontal="center" vertical="center"/>
      <protection locked="0"/>
    </xf>
    <xf numFmtId="1" fontId="8" fillId="0" borderId="11" xfId="0" applyNumberFormat="1" applyFont="1" applyFill="1" applyBorder="1" applyAlignment="1" applyProtection="1">
      <alignment horizontal="center" vertical="center"/>
      <protection locked="0"/>
    </xf>
    <xf numFmtId="4" fontId="8" fillId="0" borderId="9" xfId="0" applyNumberFormat="1" applyFont="1" applyFill="1" applyBorder="1" applyAlignment="1" applyProtection="1">
      <alignment horizontal="center" vertical="center"/>
      <protection locked="0"/>
    </xf>
    <xf numFmtId="4" fontId="8" fillId="0" borderId="10" xfId="0" applyNumberFormat="1" applyFont="1" applyFill="1" applyBorder="1" applyAlignment="1" applyProtection="1">
      <alignment horizontal="center" vertical="center"/>
      <protection locked="0"/>
    </xf>
    <xf numFmtId="4" fontId="8" fillId="0" borderId="11" xfId="0" applyNumberFormat="1" applyFont="1" applyFill="1" applyBorder="1" applyAlignment="1" applyProtection="1">
      <alignment horizontal="center" vertical="center"/>
      <protection locked="0"/>
    </xf>
    <xf numFmtId="0" fontId="19" fillId="7" borderId="4" xfId="0" applyFont="1" applyFill="1" applyBorder="1" applyAlignment="1" applyProtection="1">
      <alignment horizontal="right"/>
    </xf>
    <xf numFmtId="0" fontId="19" fillId="7" borderId="0" xfId="0" applyFont="1" applyFill="1" applyBorder="1" applyAlignment="1" applyProtection="1">
      <alignment horizontal="right"/>
    </xf>
    <xf numFmtId="4" fontId="16" fillId="7" borderId="9" xfId="0" applyNumberFormat="1" applyFont="1" applyFill="1" applyBorder="1" applyAlignment="1" applyProtection="1">
      <alignment horizontal="right" vertical="center"/>
    </xf>
    <xf numFmtId="0" fontId="16" fillId="7" borderId="10" xfId="0" applyFont="1" applyFill="1" applyBorder="1" applyAlignment="1" applyProtection="1">
      <alignment horizontal="right" vertical="center"/>
    </xf>
    <xf numFmtId="0" fontId="16" fillId="7" borderId="11" xfId="0" applyFont="1" applyFill="1" applyBorder="1" applyAlignment="1" applyProtection="1">
      <alignment horizontal="right" vertical="center"/>
    </xf>
    <xf numFmtId="4" fontId="8" fillId="0" borderId="9" xfId="0" applyNumberFormat="1" applyFont="1" applyFill="1" applyBorder="1" applyAlignment="1" applyProtection="1">
      <alignment vertical="center"/>
      <protection locked="0"/>
    </xf>
    <xf numFmtId="4" fontId="8" fillId="0" borderId="10" xfId="0" applyNumberFormat="1" applyFont="1" applyFill="1" applyBorder="1" applyAlignment="1" applyProtection="1">
      <alignment vertical="center"/>
      <protection locked="0"/>
    </xf>
    <xf numFmtId="4" fontId="8" fillId="0" borderId="11" xfId="0" applyNumberFormat="1" applyFont="1" applyFill="1" applyBorder="1" applyAlignment="1" applyProtection="1">
      <alignment vertical="center"/>
      <protection locked="0"/>
    </xf>
    <xf numFmtId="164" fontId="18" fillId="4" borderId="9" xfId="0" applyNumberFormat="1" applyFont="1" applyFill="1" applyBorder="1" applyAlignment="1" applyProtection="1">
      <alignment horizontal="center" vertical="center"/>
      <protection locked="0"/>
    </xf>
    <xf numFmtId="164" fontId="8" fillId="4" borderId="10" xfId="0" applyNumberFormat="1" applyFont="1" applyFill="1" applyBorder="1" applyAlignment="1" applyProtection="1">
      <alignment horizontal="center" vertical="center"/>
      <protection locked="0"/>
    </xf>
    <xf numFmtId="164" fontId="8" fillId="4" borderId="11" xfId="0" applyNumberFormat="1" applyFont="1" applyFill="1" applyBorder="1" applyAlignment="1" applyProtection="1">
      <alignment horizontal="center" vertical="center"/>
      <protection locked="0"/>
    </xf>
    <xf numFmtId="0" fontId="8" fillId="4" borderId="9" xfId="0" applyFont="1" applyFill="1" applyBorder="1" applyAlignment="1" applyProtection="1">
      <alignment horizontal="left" vertical="center"/>
      <protection locked="0"/>
    </xf>
    <xf numFmtId="0" fontId="0" fillId="4" borderId="10" xfId="0" applyFill="1" applyBorder="1" applyAlignment="1" applyProtection="1">
      <alignment horizontal="left" vertical="center"/>
      <protection locked="0"/>
    </xf>
    <xf numFmtId="0" fontId="0" fillId="4" borderId="11" xfId="0" applyFill="1" applyBorder="1" applyAlignment="1" applyProtection="1">
      <alignment horizontal="left" vertical="center"/>
      <protection locked="0"/>
    </xf>
    <xf numFmtId="1" fontId="9" fillId="4" borderId="9" xfId="0" applyNumberFormat="1" applyFont="1" applyFill="1" applyBorder="1" applyAlignment="1" applyProtection="1">
      <alignment horizontal="center" vertical="center" shrinkToFit="1"/>
      <protection locked="0"/>
    </xf>
    <xf numFmtId="1" fontId="9" fillId="4" borderId="10" xfId="0" applyNumberFormat="1" applyFont="1" applyFill="1" applyBorder="1" applyAlignment="1" applyProtection="1">
      <alignment horizontal="center" vertical="center" shrinkToFit="1"/>
      <protection locked="0"/>
    </xf>
    <xf numFmtId="1" fontId="9" fillId="4" borderId="11" xfId="0" applyNumberFormat="1" applyFont="1" applyFill="1" applyBorder="1" applyAlignment="1" applyProtection="1">
      <alignment horizontal="center" vertical="center" shrinkToFit="1"/>
      <protection locked="0"/>
    </xf>
    <xf numFmtId="0" fontId="8" fillId="3" borderId="6" xfId="0" applyFont="1" applyFill="1" applyBorder="1" applyAlignment="1" applyProtection="1">
      <alignment horizontal="right" vertical="center"/>
    </xf>
    <xf numFmtId="0" fontId="8" fillId="3" borderId="7" xfId="0" applyFont="1" applyFill="1" applyBorder="1" applyAlignment="1" applyProtection="1">
      <alignment horizontal="right" vertical="center"/>
    </xf>
    <xf numFmtId="0" fontId="8" fillId="3" borderId="9" xfId="0" applyFont="1" applyFill="1" applyBorder="1" applyAlignment="1" applyProtection="1">
      <alignment horizontal="right" vertical="center"/>
    </xf>
    <xf numFmtId="0" fontId="8" fillId="3" borderId="10" xfId="0" applyFont="1" applyFill="1" applyBorder="1" applyAlignment="1" applyProtection="1">
      <alignment horizontal="right" vertical="center"/>
    </xf>
    <xf numFmtId="0" fontId="7" fillId="3" borderId="9" xfId="0" applyFont="1" applyFill="1" applyBorder="1" applyAlignment="1" applyProtection="1">
      <alignment horizontal="center" vertical="center"/>
    </xf>
    <xf numFmtId="0" fontId="7" fillId="3" borderId="10" xfId="0" applyFont="1" applyFill="1" applyBorder="1" applyAlignment="1" applyProtection="1">
      <alignment horizontal="center" vertical="center"/>
    </xf>
    <xf numFmtId="0" fontId="7" fillId="3" borderId="11" xfId="0" applyFont="1" applyFill="1" applyBorder="1" applyAlignment="1" applyProtection="1">
      <alignment horizontal="center" vertical="center"/>
    </xf>
    <xf numFmtId="0" fontId="7" fillId="3" borderId="7" xfId="0" applyFont="1" applyFill="1" applyBorder="1" applyAlignment="1" applyProtection="1">
      <alignment horizontal="center" vertical="center"/>
    </xf>
    <xf numFmtId="4" fontId="8" fillId="0" borderId="0" xfId="0" applyNumberFormat="1" applyFont="1" applyFill="1" applyBorder="1" applyAlignment="1" applyProtection="1">
      <alignment horizontal="left" vertical="center" wrapText="1"/>
      <protection locked="0"/>
    </xf>
    <xf numFmtId="0" fontId="7" fillId="7" borderId="6" xfId="0" applyFont="1" applyFill="1" applyBorder="1" applyAlignment="1" applyProtection="1">
      <alignment vertical="center"/>
    </xf>
    <xf numFmtId="0" fontId="7" fillId="7" borderId="7" xfId="0" applyFont="1" applyFill="1" applyBorder="1" applyAlignment="1" applyProtection="1">
      <alignment vertical="center"/>
    </xf>
    <xf numFmtId="0" fontId="0" fillId="7" borderId="7" xfId="0" applyFill="1" applyBorder="1" applyAlignment="1" applyProtection="1">
      <alignment vertical="center"/>
    </xf>
    <xf numFmtId="49" fontId="7" fillId="0" borderId="0" xfId="0" applyNumberFormat="1" applyFont="1" applyFill="1" applyBorder="1" applyAlignment="1" applyProtection="1">
      <alignment horizontal="center" vertical="center"/>
      <protection locked="0" hidden="1"/>
    </xf>
    <xf numFmtId="49" fontId="7" fillId="0" borderId="5" xfId="0" applyNumberFormat="1" applyFont="1" applyFill="1" applyBorder="1" applyAlignment="1" applyProtection="1">
      <alignment horizontal="center" vertical="center"/>
      <protection locked="0" hidden="1"/>
    </xf>
    <xf numFmtId="0" fontId="17" fillId="7" borderId="0" xfId="0" applyFont="1" applyFill="1" applyBorder="1" applyAlignment="1" applyProtection="1">
      <alignment horizontal="center"/>
    </xf>
    <xf numFmtId="0" fontId="0" fillId="7" borderId="4" xfId="0" applyFill="1" applyBorder="1" applyAlignment="1" applyProtection="1">
      <alignment horizontal="left"/>
    </xf>
    <xf numFmtId="0" fontId="0" fillId="7" borderId="5" xfId="0" applyFill="1" applyBorder="1" applyAlignment="1" applyProtection="1">
      <alignment horizontal="left"/>
    </xf>
    <xf numFmtId="164" fontId="11" fillId="7" borderId="6" xfId="0" applyNumberFormat="1" applyFont="1" applyFill="1" applyBorder="1" applyAlignment="1" applyProtection="1">
      <alignment horizontal="left" vertical="center"/>
    </xf>
    <xf numFmtId="164" fontId="11" fillId="7" borderId="7" xfId="0" applyNumberFormat="1" applyFont="1" applyFill="1" applyBorder="1" applyAlignment="1" applyProtection="1">
      <alignment horizontal="left" vertical="center"/>
    </xf>
    <xf numFmtId="0" fontId="6" fillId="7" borderId="7" xfId="0" applyFont="1" applyFill="1" applyBorder="1" applyAlignment="1" applyProtection="1">
      <alignment horizontal="center" vertical="center"/>
    </xf>
    <xf numFmtId="0" fontId="10" fillId="7" borderId="7" xfId="0" applyFont="1" applyFill="1" applyBorder="1" applyAlignment="1" applyProtection="1">
      <alignment horizontal="center" vertical="center" shrinkToFit="1"/>
    </xf>
    <xf numFmtId="4" fontId="7" fillId="7" borderId="7" xfId="0" applyNumberFormat="1" applyFont="1" applyFill="1" applyBorder="1" applyAlignment="1" applyProtection="1">
      <alignment horizontal="center" vertical="center"/>
    </xf>
    <xf numFmtId="4" fontId="7" fillId="7" borderId="8" xfId="0" applyNumberFormat="1" applyFont="1" applyFill="1" applyBorder="1" applyAlignment="1" applyProtection="1">
      <alignment horizontal="center" vertical="center"/>
    </xf>
    <xf numFmtId="0" fontId="12" fillId="3" borderId="9" xfId="0" applyFont="1" applyFill="1" applyBorder="1" applyAlignment="1" applyProtection="1">
      <alignment horizontal="center" vertical="center" wrapText="1"/>
    </xf>
    <xf numFmtId="0" fontId="12" fillId="3" borderId="10" xfId="0" applyFont="1" applyFill="1" applyBorder="1" applyAlignment="1" applyProtection="1">
      <alignment horizontal="center" vertical="center" wrapText="1"/>
    </xf>
    <xf numFmtId="0" fontId="12" fillId="3" borderId="11" xfId="0" applyFont="1" applyFill="1" applyBorder="1" applyAlignment="1" applyProtection="1">
      <alignment horizontal="center" vertical="center" wrapText="1"/>
    </xf>
    <xf numFmtId="0" fontId="7" fillId="3" borderId="9" xfId="0" applyFont="1" applyFill="1" applyBorder="1" applyAlignment="1" applyProtection="1">
      <alignment horizontal="center" vertical="center" wrapText="1"/>
    </xf>
    <xf numFmtId="0" fontId="7" fillId="3" borderId="10" xfId="0" applyFont="1" applyFill="1" applyBorder="1" applyAlignment="1" applyProtection="1">
      <alignment horizontal="center" vertical="center" wrapText="1"/>
    </xf>
    <xf numFmtId="0" fontId="7" fillId="3" borderId="11" xfId="0" applyFont="1" applyFill="1" applyBorder="1" applyAlignment="1" applyProtection="1">
      <alignment horizontal="center" vertical="center" wrapText="1"/>
    </xf>
    <xf numFmtId="2" fontId="9" fillId="3" borderId="9" xfId="0" applyNumberFormat="1" applyFont="1" applyFill="1" applyBorder="1" applyAlignment="1" applyProtection="1">
      <alignment horizontal="right" vertical="center" shrinkToFit="1"/>
    </xf>
    <xf numFmtId="2" fontId="9" fillId="3" borderId="10" xfId="0" applyNumberFormat="1" applyFont="1" applyFill="1" applyBorder="1" applyAlignment="1" applyProtection="1">
      <alignment horizontal="right" vertical="center" shrinkToFit="1"/>
    </xf>
    <xf numFmtId="2" fontId="9" fillId="3" borderId="11" xfId="0" applyNumberFormat="1" applyFont="1" applyFill="1" applyBorder="1" applyAlignment="1" applyProtection="1">
      <alignment horizontal="right" vertical="center" shrinkToFit="1"/>
    </xf>
    <xf numFmtId="0" fontId="9" fillId="4" borderId="9" xfId="0" applyFont="1" applyFill="1" applyBorder="1" applyAlignment="1" applyProtection="1">
      <alignment horizontal="left" vertical="center"/>
      <protection locked="0"/>
    </xf>
    <xf numFmtId="0" fontId="8" fillId="3" borderId="1" xfId="0" applyFont="1" applyFill="1" applyBorder="1" applyAlignment="1" applyProtection="1">
      <alignment horizontal="right" vertical="center"/>
    </xf>
    <xf numFmtId="0" fontId="8" fillId="3" borderId="2" xfId="0" applyFont="1" applyFill="1" applyBorder="1" applyAlignment="1" applyProtection="1">
      <alignment horizontal="right" vertical="center"/>
    </xf>
    <xf numFmtId="0" fontId="8" fillId="0" borderId="7" xfId="0" applyFont="1" applyFill="1" applyBorder="1" applyAlignment="1" applyProtection="1">
      <alignment horizontal="center" vertical="center"/>
      <protection locked="0"/>
    </xf>
    <xf numFmtId="0" fontId="9" fillId="0" borderId="7" xfId="0" applyFont="1" applyFill="1" applyBorder="1" applyAlignment="1" applyProtection="1">
      <alignment horizontal="center" vertical="center"/>
      <protection locked="0"/>
    </xf>
    <xf numFmtId="0" fontId="9" fillId="0" borderId="8" xfId="0" applyFont="1" applyFill="1" applyBorder="1" applyAlignment="1" applyProtection="1">
      <alignment horizontal="center" vertical="center"/>
      <protection locked="0"/>
    </xf>
    <xf numFmtId="0" fontId="7" fillId="7" borderId="4"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4" fillId="0" borderId="7" xfId="2" applyFill="1" applyBorder="1" applyAlignment="1" applyProtection="1">
      <alignment horizontal="left" vertical="center"/>
      <protection locked="0"/>
    </xf>
    <xf numFmtId="0" fontId="9" fillId="0" borderId="7" xfId="0" applyFont="1" applyFill="1" applyBorder="1" applyAlignment="1" applyProtection="1">
      <alignment horizontal="left" vertical="center"/>
      <protection locked="0"/>
    </xf>
    <xf numFmtId="0" fontId="10" fillId="7" borderId="0" xfId="0" applyFont="1" applyFill="1" applyBorder="1" applyAlignment="1" applyProtection="1">
      <alignment horizontal="left" vertical="center"/>
    </xf>
    <xf numFmtId="0" fontId="10" fillId="7" borderId="5" xfId="0" applyFont="1" applyFill="1" applyBorder="1" applyAlignment="1" applyProtection="1">
      <alignment horizontal="left" vertical="center"/>
    </xf>
    <xf numFmtId="0" fontId="7" fillId="7" borderId="4" xfId="0" applyFont="1" applyFill="1" applyBorder="1" applyAlignment="1" applyProtection="1">
      <alignment horizontal="center" vertical="center"/>
    </xf>
    <xf numFmtId="0" fontId="7" fillId="7" borderId="0" xfId="0" applyFont="1" applyFill="1" applyBorder="1" applyAlignment="1" applyProtection="1">
      <alignment horizontal="center" vertical="center"/>
    </xf>
    <xf numFmtId="0" fontId="7" fillId="7" borderId="5" xfId="0" applyFont="1" applyFill="1" applyBorder="1" applyAlignment="1" applyProtection="1">
      <alignment horizontal="center" vertical="center"/>
    </xf>
    <xf numFmtId="0" fontId="10" fillId="7" borderId="7" xfId="0" applyFont="1" applyFill="1" applyBorder="1" applyAlignment="1" applyProtection="1">
      <alignment horizontal="left" vertical="center"/>
    </xf>
    <xf numFmtId="0" fontId="10" fillId="7" borderId="8" xfId="0" applyFont="1" applyFill="1" applyBorder="1" applyAlignment="1" applyProtection="1">
      <alignment horizontal="left" vertical="center"/>
    </xf>
    <xf numFmtId="0" fontId="7" fillId="7" borderId="6" xfId="0" applyFont="1" applyFill="1" applyBorder="1" applyAlignment="1" applyProtection="1">
      <alignment horizontal="center" vertical="center" wrapText="1"/>
    </xf>
    <xf numFmtId="0" fontId="7" fillId="7" borderId="7" xfId="0" applyFont="1" applyFill="1" applyBorder="1" applyAlignment="1" applyProtection="1">
      <alignment horizontal="center" vertical="center" wrapText="1"/>
    </xf>
    <xf numFmtId="0" fontId="7" fillId="7" borderId="8" xfId="0" applyFont="1" applyFill="1" applyBorder="1" applyAlignment="1" applyProtection="1">
      <alignment horizontal="center" vertical="center" wrapText="1"/>
    </xf>
    <xf numFmtId="0" fontId="10" fillId="7" borderId="10" xfId="0" applyFont="1" applyFill="1" applyBorder="1" applyAlignment="1" applyProtection="1">
      <alignment horizontal="center" vertical="center"/>
    </xf>
    <xf numFmtId="0" fontId="10" fillId="7" borderId="11" xfId="0" applyFont="1" applyFill="1" applyBorder="1" applyAlignment="1" applyProtection="1">
      <alignment horizontal="center" vertical="center"/>
    </xf>
    <xf numFmtId="0" fontId="7" fillId="7" borderId="6" xfId="0" applyFont="1" applyFill="1" applyBorder="1" applyAlignment="1" applyProtection="1">
      <alignment horizontal="center" vertical="center"/>
    </xf>
    <xf numFmtId="0" fontId="7" fillId="7" borderId="8" xfId="0" applyFont="1" applyFill="1" applyBorder="1" applyAlignment="1" applyProtection="1">
      <alignment horizontal="center" vertical="center"/>
    </xf>
    <xf numFmtId="0" fontId="10" fillId="7" borderId="10"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10" fillId="7" borderId="9" xfId="0" applyFont="1" applyFill="1" applyBorder="1" applyAlignment="1" applyProtection="1">
      <alignment horizontal="center" vertical="center"/>
    </xf>
    <xf numFmtId="0" fontId="8" fillId="0" borderId="9" xfId="0" applyNumberFormat="1" applyFont="1" applyFill="1" applyBorder="1" applyAlignment="1" applyProtection="1">
      <alignment horizontal="center" vertical="center"/>
      <protection locked="0"/>
    </xf>
    <xf numFmtId="0" fontId="8" fillId="0" borderId="10" xfId="0" applyNumberFormat="1" applyFont="1" applyFill="1" applyBorder="1" applyAlignment="1" applyProtection="1">
      <alignment horizontal="center" vertical="center"/>
      <protection locked="0"/>
    </xf>
    <xf numFmtId="0" fontId="8" fillId="0" borderId="11" xfId="0" applyNumberFormat="1" applyFont="1" applyFill="1" applyBorder="1" applyAlignment="1" applyProtection="1">
      <alignment horizontal="center" vertical="center"/>
      <protection locked="0"/>
    </xf>
    <xf numFmtId="0" fontId="8" fillId="0" borderId="2" xfId="0" applyFont="1" applyFill="1" applyBorder="1" applyAlignment="1" applyProtection="1">
      <alignment horizontal="left" vertical="center" shrinkToFit="1"/>
      <protection locked="0"/>
    </xf>
    <xf numFmtId="0" fontId="8" fillId="3" borderId="10" xfId="0" applyFont="1" applyFill="1" applyBorder="1" applyAlignment="1" applyProtection="1">
      <alignment horizontal="center" vertical="center"/>
    </xf>
    <xf numFmtId="0" fontId="8" fillId="3" borderId="11" xfId="0" applyFont="1" applyFill="1" applyBorder="1" applyAlignment="1" applyProtection="1">
      <alignment horizontal="center" vertical="center"/>
    </xf>
    <xf numFmtId="0" fontId="8" fillId="3" borderId="9" xfId="0" applyFont="1" applyFill="1" applyBorder="1" applyAlignment="1" applyProtection="1">
      <alignment horizontal="center" vertical="center"/>
    </xf>
    <xf numFmtId="2" fontId="9" fillId="3" borderId="10" xfId="0" applyNumberFormat="1" applyFont="1" applyFill="1" applyBorder="1" applyAlignment="1" applyProtection="1">
      <alignment horizontal="center" vertical="center" shrinkToFit="1"/>
    </xf>
    <xf numFmtId="2" fontId="9" fillId="3" borderId="11" xfId="0" applyNumberFormat="1" applyFont="1" applyFill="1" applyBorder="1" applyAlignment="1" applyProtection="1">
      <alignment horizontal="center" vertical="center" shrinkToFit="1"/>
    </xf>
    <xf numFmtId="0" fontId="17" fillId="7" borderId="7" xfId="0" applyFont="1" applyFill="1" applyBorder="1" applyAlignment="1" applyProtection="1">
      <alignment horizontal="center"/>
    </xf>
    <xf numFmtId="4" fontId="8" fillId="7" borderId="12" xfId="0" applyNumberFormat="1" applyFont="1" applyFill="1" applyBorder="1" applyAlignment="1" applyProtection="1">
      <alignment horizontal="right" vertical="center" shrinkToFit="1"/>
    </xf>
    <xf numFmtId="0" fontId="8" fillId="7" borderId="12" xfId="0" applyFont="1" applyFill="1" applyBorder="1" applyAlignment="1" applyProtection="1">
      <alignment horizontal="right" vertical="center"/>
    </xf>
    <xf numFmtId="0" fontId="8" fillId="7" borderId="16" xfId="0" applyFont="1" applyFill="1" applyBorder="1" applyAlignment="1" applyProtection="1">
      <alignment horizontal="right" vertical="center"/>
    </xf>
    <xf numFmtId="4" fontId="19" fillId="7" borderId="18" xfId="0" applyNumberFormat="1" applyFont="1" applyFill="1" applyBorder="1" applyAlignment="1" applyProtection="1">
      <alignment horizontal="right"/>
    </xf>
    <xf numFmtId="4" fontId="19" fillId="7" borderId="17" xfId="0" applyNumberFormat="1" applyFont="1" applyFill="1" applyBorder="1" applyAlignment="1" applyProtection="1">
      <alignment horizontal="right"/>
    </xf>
    <xf numFmtId="14" fontId="9" fillId="0" borderId="7" xfId="0" applyNumberFormat="1" applyFont="1" applyFill="1" applyBorder="1" applyAlignment="1" applyProtection="1">
      <alignment vertical="center"/>
      <protection locked="0"/>
    </xf>
    <xf numFmtId="14" fontId="9" fillId="0" borderId="8" xfId="0" applyNumberFormat="1" applyFont="1" applyFill="1" applyBorder="1" applyAlignment="1" applyProtection="1">
      <alignment vertical="center"/>
      <protection locked="0"/>
    </xf>
    <xf numFmtId="4" fontId="9" fillId="0" borderId="7" xfId="0" applyNumberFormat="1" applyFont="1" applyFill="1" applyBorder="1" applyAlignment="1" applyProtection="1">
      <alignment vertical="center"/>
      <protection locked="0"/>
    </xf>
    <xf numFmtId="0" fontId="7" fillId="7" borderId="4" xfId="0" applyFont="1" applyFill="1" applyBorder="1" applyAlignment="1" applyProtection="1">
      <alignment horizontal="right" vertical="center"/>
    </xf>
    <xf numFmtId="0" fontId="7" fillId="7" borderId="0" xfId="0" applyFont="1" applyFill="1" applyBorder="1" applyAlignment="1" applyProtection="1">
      <alignment horizontal="right" vertical="center"/>
    </xf>
    <xf numFmtId="0" fontId="10" fillId="0" borderId="0" xfId="0" applyFont="1" applyFill="1" applyBorder="1" applyAlignment="1" applyProtection="1">
      <alignment horizontal="center" wrapText="1"/>
    </xf>
    <xf numFmtId="164" fontId="6" fillId="7" borderId="1" xfId="0" applyNumberFormat="1" applyFont="1" applyFill="1" applyBorder="1" applyAlignment="1" applyProtection="1">
      <alignment horizontal="center" vertical="center" shrinkToFit="1"/>
    </xf>
    <xf numFmtId="164" fontId="6" fillId="7" borderId="2" xfId="0" applyNumberFormat="1" applyFont="1" applyFill="1" applyBorder="1" applyAlignment="1" applyProtection="1">
      <alignment horizontal="center" vertical="center" shrinkToFit="1"/>
    </xf>
    <xf numFmtId="0" fontId="7" fillId="7" borderId="13" xfId="0" applyFont="1" applyFill="1" applyBorder="1" applyAlignment="1" applyProtection="1">
      <alignment horizontal="right" vertical="center"/>
    </xf>
    <xf numFmtId="2" fontId="9" fillId="3" borderId="6" xfId="0" applyNumberFormat="1" applyFont="1" applyFill="1" applyBorder="1" applyAlignment="1" applyProtection="1">
      <alignment horizontal="right" vertical="center" shrinkToFit="1"/>
    </xf>
    <xf numFmtId="2" fontId="9" fillId="3" borderId="7" xfId="0" applyNumberFormat="1" applyFont="1" applyFill="1" applyBorder="1" applyAlignment="1" applyProtection="1">
      <alignment horizontal="right" vertical="center" shrinkToFit="1"/>
    </xf>
    <xf numFmtId="2" fontId="9" fillId="3" borderId="8" xfId="0" applyNumberFormat="1" applyFont="1" applyFill="1" applyBorder="1" applyAlignment="1" applyProtection="1">
      <alignment horizontal="right" vertical="center" shrinkToFit="1"/>
    </xf>
    <xf numFmtId="4" fontId="17" fillId="7" borderId="7" xfId="0" applyNumberFormat="1" applyFont="1" applyFill="1" applyBorder="1" applyAlignment="1" applyProtection="1">
      <alignment horizontal="center"/>
    </xf>
    <xf numFmtId="4" fontId="17" fillId="7" borderId="8" xfId="0" applyNumberFormat="1" applyFont="1" applyFill="1" applyBorder="1" applyAlignment="1" applyProtection="1">
      <alignment horizontal="center"/>
    </xf>
    <xf numFmtId="4" fontId="8" fillId="7" borderId="14" xfId="0" applyNumberFormat="1" applyFont="1" applyFill="1" applyBorder="1" applyAlignment="1" applyProtection="1">
      <alignment horizontal="right" vertical="center" shrinkToFit="1"/>
    </xf>
    <xf numFmtId="0" fontId="8" fillId="7" borderId="14" xfId="0" applyFont="1" applyFill="1" applyBorder="1" applyAlignment="1" applyProtection="1">
      <alignment horizontal="right" vertical="center"/>
    </xf>
    <xf numFmtId="0" fontId="7" fillId="7" borderId="4" xfId="0" applyFont="1" applyFill="1" applyBorder="1" applyAlignment="1" applyProtection="1">
      <alignment horizontal="right" vertical="center" shrinkToFit="1"/>
    </xf>
    <xf numFmtId="0" fontId="0" fillId="7" borderId="0" xfId="0" applyFill="1" applyBorder="1" applyAlignment="1" applyProtection="1">
      <alignment vertical="center" shrinkToFit="1"/>
    </xf>
    <xf numFmtId="4" fontId="8" fillId="7" borderId="15" xfId="0" applyNumberFormat="1" applyFont="1" applyFill="1" applyBorder="1" applyAlignment="1" applyProtection="1">
      <alignment horizontal="right" vertical="center" shrinkToFit="1"/>
    </xf>
    <xf numFmtId="0" fontId="7" fillId="7" borderId="10" xfId="0" applyFont="1" applyFill="1" applyBorder="1" applyAlignment="1" applyProtection="1">
      <alignment horizontal="left" vertical="center" wrapText="1"/>
    </xf>
    <xf numFmtId="0" fontId="17" fillId="7" borderId="10" xfId="0" applyFont="1" applyFill="1" applyBorder="1" applyAlignment="1" applyProtection="1">
      <alignment horizontal="left" vertical="center"/>
    </xf>
    <xf numFmtId="0" fontId="10" fillId="7" borderId="4"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0" fillId="0" borderId="7" xfId="0" applyFont="1" applyFill="1" applyBorder="1" applyAlignment="1" applyProtection="1">
      <alignment horizontal="center" vertical="top" shrinkToFit="1"/>
      <protection locked="0"/>
    </xf>
    <xf numFmtId="0" fontId="7" fillId="7" borderId="6" xfId="0" applyFont="1" applyFill="1" applyBorder="1" applyAlignment="1" applyProtection="1">
      <alignment horizontal="left" vertical="center" wrapText="1"/>
    </xf>
    <xf numFmtId="0" fontId="7" fillId="7" borderId="7" xfId="0" applyFont="1" applyFill="1" applyBorder="1" applyAlignment="1" applyProtection="1">
      <alignment horizontal="left" vertical="center" wrapText="1"/>
    </xf>
    <xf numFmtId="0" fontId="7" fillId="7" borderId="10" xfId="0" applyFont="1" applyFill="1" applyBorder="1" applyAlignment="1" applyProtection="1">
      <alignment horizontal="left" vertical="center"/>
    </xf>
    <xf numFmtId="4" fontId="20" fillId="7" borderId="18" xfId="0" applyNumberFormat="1" applyFont="1" applyFill="1" applyBorder="1" applyAlignment="1" applyProtection="1">
      <alignment horizontal="right" wrapText="1"/>
    </xf>
    <xf numFmtId="4" fontId="20" fillId="7" borderId="17" xfId="0" applyNumberFormat="1" applyFont="1" applyFill="1" applyBorder="1" applyAlignment="1" applyProtection="1">
      <alignment horizontal="right" wrapText="1"/>
    </xf>
    <xf numFmtId="0" fontId="25" fillId="7" borderId="0" xfId="0" applyFont="1" applyFill="1" applyBorder="1" applyAlignment="1" applyProtection="1">
      <alignment horizontal="center" vertical="center" wrapText="1"/>
    </xf>
    <xf numFmtId="0" fontId="7" fillId="7" borderId="4" xfId="0" applyFont="1" applyFill="1" applyBorder="1" applyAlignment="1" applyProtection="1"/>
    <xf numFmtId="0" fontId="7" fillId="7" borderId="6" xfId="0" applyFont="1" applyFill="1" applyBorder="1" applyAlignment="1" applyProtection="1">
      <alignment vertical="top" wrapText="1"/>
    </xf>
    <xf numFmtId="0" fontId="0" fillId="7" borderId="7" xfId="0" applyFill="1" applyBorder="1" applyAlignment="1" applyProtection="1">
      <alignment vertical="top" wrapText="1"/>
    </xf>
    <xf numFmtId="0" fontId="5" fillId="7" borderId="0" xfId="2" applyFont="1" applyFill="1" applyBorder="1" applyAlignment="1" applyProtection="1">
      <alignment horizontal="center" vertical="center"/>
    </xf>
    <xf numFmtId="0" fontId="0" fillId="7" borderId="0" xfId="0" applyFill="1" applyBorder="1" applyAlignment="1" applyProtection="1">
      <alignment horizontal="center" vertical="center"/>
    </xf>
    <xf numFmtId="0" fontId="10" fillId="7" borderId="5" xfId="0" applyFont="1" applyFill="1" applyBorder="1" applyAlignment="1" applyProtection="1">
      <alignment horizontal="left" vertical="center" wrapText="1"/>
    </xf>
    <xf numFmtId="0" fontId="10" fillId="0" borderId="7" xfId="0" applyFont="1" applyFill="1" applyBorder="1" applyAlignment="1" applyProtection="1">
      <alignment horizontal="center" vertical="center" shrinkToFit="1"/>
      <protection locked="0"/>
    </xf>
    <xf numFmtId="0" fontId="10" fillId="0" borderId="8" xfId="0" applyFont="1" applyFill="1" applyBorder="1" applyAlignment="1" applyProtection="1">
      <alignment horizontal="center" vertical="center" shrinkToFit="1"/>
      <protection locked="0"/>
    </xf>
    <xf numFmtId="0" fontId="0" fillId="0" borderId="0" xfId="0" applyAlignment="1">
      <alignment horizontal="center"/>
    </xf>
    <xf numFmtId="0" fontId="0" fillId="0" borderId="7" xfId="0" applyBorder="1" applyAlignment="1">
      <alignment horizontal="center" wrapText="1"/>
    </xf>
    <xf numFmtId="0" fontId="8" fillId="0" borderId="0" xfId="3" applyAlignment="1" applyProtection="1">
      <alignment horizontal="left"/>
    </xf>
    <xf numFmtId="0" fontId="8" fillId="0" borderId="0" xfId="3" applyFill="1" applyAlignment="1" applyProtection="1">
      <alignment horizontal="left"/>
    </xf>
    <xf numFmtId="0" fontId="8" fillId="0" borderId="0" xfId="3" quotePrefix="1" applyAlignment="1" applyProtection="1">
      <alignment horizontal="left"/>
    </xf>
    <xf numFmtId="164" fontId="8" fillId="0" borderId="9" xfId="0" applyNumberFormat="1" applyFont="1" applyFill="1" applyBorder="1" applyAlignment="1" applyProtection="1">
      <alignment vertical="center"/>
      <protection locked="0"/>
    </xf>
    <xf numFmtId="0" fontId="0" fillId="0" borderId="0" xfId="0" applyProtection="1">
      <protection locked="0"/>
    </xf>
  </cellXfs>
  <cellStyles count="4">
    <cellStyle name="Hyperlink" xfId="2" builtinId="8"/>
    <cellStyle name="Neutral" xfId="1" builtinId="28"/>
    <cellStyle name="Normal" xfId="0" builtinId="0"/>
    <cellStyle name="Normal 2" xfId="3"/>
  </cellStyles>
  <dxfs count="8">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37</xdr:col>
      <xdr:colOff>142874</xdr:colOff>
      <xdr:row>1</xdr:row>
      <xdr:rowOff>57150</xdr:rowOff>
    </xdr:from>
    <xdr:to>
      <xdr:col>45</xdr:col>
      <xdr:colOff>133349</xdr:colOff>
      <xdr:row>3</xdr:row>
      <xdr:rowOff>12089</xdr:rowOff>
    </xdr:to>
    <xdr:pic>
      <xdr:nvPicPr>
        <xdr:cNvPr id="2" name="Picture 24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53224" y="323850"/>
          <a:ext cx="1476375" cy="4883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123825</xdr:colOff>
      <xdr:row>66</xdr:row>
      <xdr:rowOff>57150</xdr:rowOff>
    </xdr:from>
    <xdr:to>
      <xdr:col>45</xdr:col>
      <xdr:colOff>114300</xdr:colOff>
      <xdr:row>68</xdr:row>
      <xdr:rowOff>12089</xdr:rowOff>
    </xdr:to>
    <xdr:pic>
      <xdr:nvPicPr>
        <xdr:cNvPr id="4" name="Picture 24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10375" y="13935075"/>
          <a:ext cx="1476375" cy="4883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7620</xdr:colOff>
      <xdr:row>48</xdr:row>
      <xdr:rowOff>0</xdr:rowOff>
    </xdr:from>
    <xdr:to>
      <xdr:col>73</xdr:col>
      <xdr:colOff>129540</xdr:colOff>
      <xdr:row>57</xdr:row>
      <xdr:rowOff>60960</xdr:rowOff>
    </xdr:to>
    <xdr:sp macro="" textlink="">
      <xdr:nvSpPr>
        <xdr:cNvPr id="3" name="TextBox 2"/>
        <xdr:cNvSpPr txBox="1"/>
      </xdr:nvSpPr>
      <xdr:spPr>
        <a:xfrm>
          <a:off x="8831580" y="9342120"/>
          <a:ext cx="2682240" cy="231648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effectLst/>
              <a:latin typeface="+mn-lt"/>
              <a:ea typeface="+mn-ea"/>
              <a:cs typeface="+mn-cs"/>
            </a:rPr>
            <a:t>Commonly used account codes</a:t>
          </a:r>
          <a:r>
            <a:rPr lang="en-GB" u="sng" baseline="0"/>
            <a:t> </a:t>
          </a:r>
        </a:p>
        <a:p>
          <a:pPr marL="0" marR="0" indent="0" defTabSz="914400" eaLnBrk="1" fontAlgn="auto" latinLnBrk="0" hangingPunct="1">
            <a:lnSpc>
              <a:spcPct val="100000"/>
            </a:lnSpc>
            <a:spcBef>
              <a:spcPts val="0"/>
            </a:spcBef>
            <a:spcAft>
              <a:spcPts val="0"/>
            </a:spcAft>
            <a:buClrTx/>
            <a:buSzTx/>
            <a:buFontTx/>
            <a:buNone/>
            <a:tabLst/>
            <a:defRPr/>
          </a:pPr>
          <a:r>
            <a:rPr lang="en-GB" sz="1100" b="0" i="0">
              <a:solidFill>
                <a:schemeClr val="dk1"/>
              </a:solidFill>
              <a:effectLst/>
              <a:latin typeface="+mn-lt"/>
              <a:ea typeface="+mn-ea"/>
              <a:cs typeface="+mn-cs"/>
            </a:rPr>
            <a:t>4260</a:t>
          </a:r>
          <a:r>
            <a:rPr lang="en-GB" sz="1100">
              <a:solidFill>
                <a:schemeClr val="dk1"/>
              </a:solidFill>
              <a:effectLst/>
              <a:latin typeface="+mn-lt"/>
              <a:ea typeface="+mn-ea"/>
              <a:cs typeface="+mn-cs"/>
            </a:rPr>
            <a:t> </a:t>
          </a:r>
          <a:r>
            <a:rPr lang="en-GB" sz="1100" b="0" i="0">
              <a:solidFill>
                <a:schemeClr val="dk1"/>
              </a:solidFill>
              <a:effectLst/>
              <a:latin typeface="+mn-lt"/>
              <a:ea typeface="+mn-ea"/>
              <a:cs typeface="+mn-cs"/>
            </a:rPr>
            <a:t>Conference</a:t>
          </a:r>
          <a:r>
            <a:rPr lang="en-GB" sz="1100" b="0" i="0" baseline="0">
              <a:solidFill>
                <a:schemeClr val="dk1"/>
              </a:solidFill>
              <a:effectLst/>
              <a:latin typeface="+mn-lt"/>
              <a:ea typeface="+mn-ea"/>
              <a:cs typeface="+mn-cs"/>
            </a:rPr>
            <a:t> registration - staff</a:t>
          </a:r>
          <a:r>
            <a:rPr lang="en-GB" sz="1100">
              <a:solidFill>
                <a:schemeClr val="dk1"/>
              </a:solidFill>
              <a:effectLst/>
              <a:latin typeface="+mn-lt"/>
              <a:ea typeface="+mn-ea"/>
              <a:cs typeface="+mn-cs"/>
            </a:rPr>
            <a:t>  only</a:t>
          </a:r>
          <a:endParaRPr lang="en-GB">
            <a:effectLst/>
          </a:endParaRPr>
        </a:p>
        <a:p>
          <a:pPr marL="0" marR="0" indent="0" defTabSz="914400" eaLnBrk="1" fontAlgn="auto" latinLnBrk="0" hangingPunct="1">
            <a:lnSpc>
              <a:spcPct val="100000"/>
            </a:lnSpc>
            <a:spcBef>
              <a:spcPts val="0"/>
            </a:spcBef>
            <a:spcAft>
              <a:spcPts val="0"/>
            </a:spcAft>
            <a:buClrTx/>
            <a:buSzTx/>
            <a:buFontTx/>
            <a:buNone/>
            <a:tabLst/>
            <a:defRPr/>
          </a:pPr>
          <a:r>
            <a:rPr lang="en-GB" sz="1100" b="0" i="0">
              <a:solidFill>
                <a:schemeClr val="dk1"/>
              </a:solidFill>
              <a:effectLst/>
              <a:latin typeface="+mn-lt"/>
              <a:ea typeface="+mn-ea"/>
              <a:cs typeface="+mn-cs"/>
            </a:rPr>
            <a:t>4734</a:t>
          </a:r>
          <a:r>
            <a:rPr lang="en-GB" sz="1100">
              <a:solidFill>
                <a:schemeClr val="dk1"/>
              </a:solidFill>
              <a:effectLst/>
              <a:latin typeface="+mn-lt"/>
              <a:ea typeface="+mn-ea"/>
              <a:cs typeface="+mn-cs"/>
            </a:rPr>
            <a:t> </a:t>
          </a:r>
          <a:r>
            <a:rPr lang="en-GB" sz="1100" b="0" i="0">
              <a:solidFill>
                <a:schemeClr val="dk1"/>
              </a:solidFill>
              <a:effectLst/>
              <a:latin typeface="+mn-lt"/>
              <a:ea typeface="+mn-ea"/>
              <a:cs typeface="+mn-cs"/>
            </a:rPr>
            <a:t>Eye tests and DSE spectacle payments</a:t>
          </a:r>
          <a:r>
            <a:rPr lang="en-GB" sz="1100">
              <a:solidFill>
                <a:schemeClr val="dk1"/>
              </a:solidFill>
              <a:effectLst/>
              <a:latin typeface="+mn-lt"/>
              <a:ea typeface="+mn-ea"/>
              <a:cs typeface="+mn-cs"/>
            </a:rPr>
            <a:t> </a:t>
          </a:r>
          <a:endParaRPr lang="en-GB">
            <a:effectLst/>
          </a:endParaRPr>
        </a:p>
        <a:p>
          <a:r>
            <a:rPr lang="en-GB" sz="1100" b="0" i="0" u="none" strike="noStrike">
              <a:solidFill>
                <a:schemeClr val="dk1"/>
              </a:solidFill>
              <a:effectLst/>
              <a:latin typeface="+mn-lt"/>
              <a:ea typeface="+mn-ea"/>
              <a:cs typeface="+mn-cs"/>
            </a:rPr>
            <a:t>5010</a:t>
          </a:r>
          <a:r>
            <a:rPr lang="en-GB"/>
            <a:t> </a:t>
          </a:r>
          <a:r>
            <a:rPr lang="en-GB" sz="1100" b="0" i="0" u="none" strike="noStrike">
              <a:solidFill>
                <a:schemeClr val="dk1"/>
              </a:solidFill>
              <a:effectLst/>
              <a:latin typeface="+mn-lt"/>
              <a:ea typeface="+mn-ea"/>
              <a:cs typeface="+mn-cs"/>
            </a:rPr>
            <a:t>UK Travel</a:t>
          </a:r>
          <a:r>
            <a:rPr lang="en-GB"/>
            <a:t> </a:t>
          </a:r>
        </a:p>
        <a:p>
          <a:r>
            <a:rPr lang="en-GB" sz="1100" b="0" i="0" u="none" strike="noStrike">
              <a:solidFill>
                <a:schemeClr val="dk1"/>
              </a:solidFill>
              <a:effectLst/>
              <a:latin typeface="+mn-lt"/>
              <a:ea typeface="+mn-ea"/>
              <a:cs typeface="+mn-cs"/>
            </a:rPr>
            <a:t>5020</a:t>
          </a:r>
          <a:r>
            <a:rPr lang="en-GB"/>
            <a:t> </a:t>
          </a:r>
          <a:r>
            <a:rPr lang="en-GB" sz="1100" b="0" i="0" u="none" strike="noStrike">
              <a:solidFill>
                <a:schemeClr val="dk1"/>
              </a:solidFill>
              <a:effectLst/>
              <a:latin typeface="+mn-lt"/>
              <a:ea typeface="+mn-ea"/>
              <a:cs typeface="+mn-cs"/>
            </a:rPr>
            <a:t>Mileage expenses</a:t>
          </a:r>
          <a:r>
            <a:rPr lang="en-GB"/>
            <a:t> </a:t>
          </a:r>
        </a:p>
        <a:p>
          <a:r>
            <a:rPr lang="en-GB" sz="1100" b="0" i="0" u="none" strike="noStrike">
              <a:solidFill>
                <a:schemeClr val="dk1"/>
              </a:solidFill>
              <a:effectLst/>
              <a:latin typeface="+mn-lt"/>
              <a:ea typeface="+mn-ea"/>
              <a:cs typeface="+mn-cs"/>
            </a:rPr>
            <a:t>5025</a:t>
          </a:r>
          <a:r>
            <a:rPr lang="en-GB"/>
            <a:t> </a:t>
          </a:r>
          <a:r>
            <a:rPr lang="en-GB" sz="1100" b="0" i="0" u="none" strike="noStrike">
              <a:solidFill>
                <a:schemeClr val="dk1"/>
              </a:solidFill>
              <a:effectLst/>
              <a:latin typeface="+mn-lt"/>
              <a:ea typeface="+mn-ea"/>
              <a:cs typeface="+mn-cs"/>
            </a:rPr>
            <a:t>Mileage Intercampus</a:t>
          </a:r>
          <a:r>
            <a:rPr lang="en-GB"/>
            <a:t> </a:t>
          </a:r>
        </a:p>
        <a:p>
          <a:r>
            <a:rPr lang="en-GB" sz="1100" b="0" i="0" u="none" strike="noStrike">
              <a:solidFill>
                <a:schemeClr val="dk1"/>
              </a:solidFill>
              <a:effectLst/>
              <a:latin typeface="+mn-lt"/>
              <a:ea typeface="+mn-ea"/>
              <a:cs typeface="+mn-cs"/>
            </a:rPr>
            <a:t>5030</a:t>
          </a:r>
          <a:r>
            <a:rPr lang="en-GB"/>
            <a:t> </a:t>
          </a:r>
          <a:r>
            <a:rPr lang="en-GB" sz="1100" b="0" i="0" u="none" strike="noStrike">
              <a:solidFill>
                <a:schemeClr val="dk1"/>
              </a:solidFill>
              <a:effectLst/>
              <a:latin typeface="+mn-lt"/>
              <a:ea typeface="+mn-ea"/>
              <a:cs typeface="+mn-cs"/>
            </a:rPr>
            <a:t>Car hire</a:t>
          </a:r>
          <a:r>
            <a:rPr lang="en-GB"/>
            <a:t> </a:t>
          </a:r>
        </a:p>
        <a:p>
          <a:r>
            <a:rPr lang="en-GB" sz="1100" b="0" i="0" u="none" strike="noStrike">
              <a:solidFill>
                <a:schemeClr val="dk1"/>
              </a:solidFill>
              <a:effectLst/>
              <a:latin typeface="+mn-lt"/>
              <a:ea typeface="+mn-ea"/>
              <a:cs typeface="+mn-cs"/>
            </a:rPr>
            <a:t>5040</a:t>
          </a:r>
          <a:r>
            <a:rPr lang="en-GB"/>
            <a:t> </a:t>
          </a:r>
          <a:r>
            <a:rPr lang="en-GB" sz="1100" b="0" i="0" u="none" strike="noStrike">
              <a:solidFill>
                <a:schemeClr val="dk1"/>
              </a:solidFill>
              <a:effectLst/>
              <a:latin typeface="+mn-lt"/>
              <a:ea typeface="+mn-ea"/>
              <a:cs typeface="+mn-cs"/>
            </a:rPr>
            <a:t>Petrol costs for hired car</a:t>
          </a:r>
          <a:r>
            <a:rPr lang="en-GB"/>
            <a:t> </a:t>
          </a:r>
        </a:p>
        <a:p>
          <a:r>
            <a:rPr lang="en-GB" sz="1100" b="0" i="0" u="none" strike="noStrike">
              <a:solidFill>
                <a:schemeClr val="dk1"/>
              </a:solidFill>
              <a:effectLst/>
              <a:latin typeface="+mn-lt"/>
              <a:ea typeface="+mn-ea"/>
              <a:cs typeface="+mn-cs"/>
            </a:rPr>
            <a:t>5050</a:t>
          </a:r>
          <a:r>
            <a:rPr lang="en-GB"/>
            <a:t> </a:t>
          </a:r>
          <a:r>
            <a:rPr lang="en-GB" sz="1100" b="0" i="0" u="none" strike="noStrike">
              <a:solidFill>
                <a:schemeClr val="dk1"/>
              </a:solidFill>
              <a:effectLst/>
              <a:latin typeface="+mn-lt"/>
              <a:ea typeface="+mn-ea"/>
              <a:cs typeface="+mn-cs"/>
            </a:rPr>
            <a:t>UK Subsistence</a:t>
          </a:r>
          <a:r>
            <a:rPr lang="en-GB"/>
            <a:t> </a:t>
          </a:r>
        </a:p>
        <a:p>
          <a:r>
            <a:rPr lang="en-GB" sz="1100" b="0" i="0" u="none" strike="noStrike">
              <a:solidFill>
                <a:schemeClr val="dk1"/>
              </a:solidFill>
              <a:effectLst/>
              <a:latin typeface="+mn-lt"/>
              <a:ea typeface="+mn-ea"/>
              <a:cs typeface="+mn-cs"/>
            </a:rPr>
            <a:t>5070</a:t>
          </a:r>
          <a:r>
            <a:rPr lang="en-GB"/>
            <a:t> </a:t>
          </a:r>
          <a:r>
            <a:rPr lang="en-GB" sz="1100" b="0" i="0" u="none" strike="noStrike">
              <a:solidFill>
                <a:schemeClr val="dk1"/>
              </a:solidFill>
              <a:effectLst/>
              <a:latin typeface="+mn-lt"/>
              <a:ea typeface="+mn-ea"/>
              <a:cs typeface="+mn-cs"/>
            </a:rPr>
            <a:t>Overseas travel</a:t>
          </a:r>
          <a:r>
            <a:rPr lang="en-GB"/>
            <a:t> </a:t>
          </a:r>
        </a:p>
        <a:p>
          <a:r>
            <a:rPr lang="en-GB" sz="1100" b="0" i="0" u="none" strike="noStrike">
              <a:solidFill>
                <a:schemeClr val="dk1"/>
              </a:solidFill>
              <a:effectLst/>
              <a:latin typeface="+mn-lt"/>
              <a:ea typeface="+mn-ea"/>
              <a:cs typeface="+mn-cs"/>
            </a:rPr>
            <a:t>5080</a:t>
          </a:r>
          <a:r>
            <a:rPr lang="en-GB"/>
            <a:t> </a:t>
          </a:r>
          <a:r>
            <a:rPr lang="en-GB" sz="1100" b="0" i="0" u="none" strike="noStrike">
              <a:solidFill>
                <a:schemeClr val="dk1"/>
              </a:solidFill>
              <a:effectLst/>
              <a:latin typeface="+mn-lt"/>
              <a:ea typeface="+mn-ea"/>
              <a:cs typeface="+mn-cs"/>
            </a:rPr>
            <a:t>Overseas subsistence</a:t>
          </a:r>
          <a:r>
            <a:rPr lang="en-GB"/>
            <a:t> </a:t>
          </a:r>
        </a:p>
        <a:p>
          <a:r>
            <a:rPr lang="en-GB" sz="1100" b="0" i="0" u="none" strike="noStrike">
              <a:solidFill>
                <a:schemeClr val="dk1"/>
              </a:solidFill>
              <a:effectLst/>
              <a:latin typeface="+mn-lt"/>
              <a:ea typeface="+mn-ea"/>
              <a:cs typeface="+mn-cs"/>
            </a:rPr>
            <a:t>5130</a:t>
          </a:r>
          <a:r>
            <a:rPr lang="en-GB"/>
            <a:t> </a:t>
          </a:r>
          <a:r>
            <a:rPr lang="en-GB" sz="1100" b="0" i="0" u="none" strike="noStrike">
              <a:solidFill>
                <a:schemeClr val="dk1"/>
              </a:solidFill>
              <a:effectLst/>
              <a:latin typeface="+mn-lt"/>
              <a:ea typeface="+mn-ea"/>
              <a:cs typeface="+mn-cs"/>
            </a:rPr>
            <a:t>Business entertaining</a:t>
          </a:r>
        </a:p>
        <a:p>
          <a:r>
            <a:rPr lang="en-GB" sz="1100" b="0" i="0" u="none" strike="noStrike">
              <a:solidFill>
                <a:schemeClr val="dk1"/>
              </a:solidFill>
              <a:effectLst/>
              <a:latin typeface="+mn-lt"/>
              <a:ea typeface="+mn-ea"/>
              <a:cs typeface="+mn-cs"/>
            </a:rPr>
            <a:t>5140</a:t>
          </a:r>
          <a:r>
            <a:rPr lang="en-GB"/>
            <a:t> </a:t>
          </a:r>
          <a:r>
            <a:rPr lang="en-GB" sz="1100" b="0" i="0" u="none" strike="noStrike">
              <a:solidFill>
                <a:schemeClr val="dk1"/>
              </a:solidFill>
              <a:effectLst/>
              <a:latin typeface="+mn-lt"/>
              <a:ea typeface="+mn-ea"/>
              <a:cs typeface="+mn-cs"/>
            </a:rPr>
            <a:t>Hospitality - staff only</a:t>
          </a:r>
          <a:r>
            <a:rPr lang="en-GB"/>
            <a:t> </a:t>
          </a:r>
        </a:p>
      </xdr:txBody>
    </xdr:sp>
    <xdr:clientData/>
  </xdr:twoCellAnchor>
  <xdr:twoCellAnchor>
    <xdr:from>
      <xdr:col>26</xdr:col>
      <xdr:colOff>0</xdr:colOff>
      <xdr:row>6</xdr:row>
      <xdr:rowOff>83820</xdr:rowOff>
    </xdr:from>
    <xdr:to>
      <xdr:col>31</xdr:col>
      <xdr:colOff>7620</xdr:colOff>
      <xdr:row>8</xdr:row>
      <xdr:rowOff>182880</xdr:rowOff>
    </xdr:to>
    <xdr:sp macro="[0]!PrintPage1" textlink="">
      <xdr:nvSpPr>
        <xdr:cNvPr id="6" name="TextBox 5"/>
        <xdr:cNvSpPr txBox="1"/>
      </xdr:nvSpPr>
      <xdr:spPr>
        <a:xfrm>
          <a:off x="4892040" y="1569720"/>
          <a:ext cx="967740" cy="434340"/>
        </a:xfrm>
        <a:prstGeom prst="rect">
          <a:avLst/>
        </a:prstGeom>
        <a:solidFill>
          <a:schemeClr val="accent4">
            <a:lumMod val="40000"/>
            <a:lumOff val="6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latin typeface="Arial" panose="020B0604020202020204" pitchFamily="34" charset="0"/>
              <a:cs typeface="Arial" panose="020B0604020202020204" pitchFamily="34" charset="0"/>
            </a:rPr>
            <a:t>Click to print page 1 only</a:t>
          </a:r>
        </a:p>
      </xdr:txBody>
    </xdr:sp>
    <xdr:clientData/>
  </xdr:twoCellAnchor>
  <xdr:twoCellAnchor>
    <xdr:from>
      <xdr:col>26</xdr:col>
      <xdr:colOff>19050</xdr:colOff>
      <xdr:row>10</xdr:row>
      <xdr:rowOff>26670</xdr:rowOff>
    </xdr:from>
    <xdr:to>
      <xdr:col>31</xdr:col>
      <xdr:colOff>22860</xdr:colOff>
      <xdr:row>12</xdr:row>
      <xdr:rowOff>11430</xdr:rowOff>
    </xdr:to>
    <xdr:sp macro="[0]!PrintBothPages" textlink="">
      <xdr:nvSpPr>
        <xdr:cNvPr id="7" name="TextBox 6"/>
        <xdr:cNvSpPr txBox="1"/>
      </xdr:nvSpPr>
      <xdr:spPr>
        <a:xfrm>
          <a:off x="4911090" y="2183130"/>
          <a:ext cx="963930" cy="434340"/>
        </a:xfrm>
        <a:prstGeom prst="rect">
          <a:avLst/>
        </a:prstGeom>
        <a:solidFill>
          <a:schemeClr val="accent4">
            <a:lumMod val="40000"/>
            <a:lumOff val="6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latin typeface="Arial" panose="020B0604020202020204" pitchFamily="34" charset="0"/>
              <a:cs typeface="Arial" panose="020B0604020202020204" pitchFamily="34" charset="0"/>
            </a:rPr>
            <a:t>Click to print </a:t>
          </a:r>
          <a:r>
            <a:rPr lang="en-GB" sz="1000" b="1">
              <a:latin typeface="Arial" panose="020B0604020202020204" pitchFamily="34" charset="0"/>
              <a:cs typeface="Arial" panose="020B0604020202020204" pitchFamily="34" charset="0"/>
            </a:rPr>
            <a:t>BOTH</a:t>
          </a:r>
          <a:r>
            <a:rPr lang="en-GB" sz="1000">
              <a:latin typeface="Arial" panose="020B0604020202020204" pitchFamily="34" charset="0"/>
              <a:cs typeface="Arial" panose="020B0604020202020204" pitchFamily="34" charset="0"/>
            </a:rPr>
            <a:t> pages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reading.ac.uk/web/FILES/finance/E17_TAOEBHAG_MileageRates.pdf" TargetMode="External"/><Relationship Id="rId2" Type="http://schemas.openxmlformats.org/officeDocument/2006/relationships/hyperlink" Target="http://www.reading.ac.uk/Mileage_rates.aspx" TargetMode="External"/><Relationship Id="rId1" Type="http://schemas.openxmlformats.org/officeDocument/2006/relationships/hyperlink" Target="http://www.theaa.com/route-planner/index.jsp"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theaa.com/route-planner/index.jsp"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BN105"/>
  <sheetViews>
    <sheetView showGridLines="0" showRowColHeaders="0" tabSelected="1" zoomScaleNormal="100" workbookViewId="0">
      <selection activeCell="B31" sqref="B31:E31"/>
    </sheetView>
  </sheetViews>
  <sheetFormatPr defaultRowHeight="21.6" customHeight="1"/>
  <cols>
    <col min="1" max="1" width="2.5703125" style="22" customWidth="1"/>
    <col min="2" max="10" width="2.7109375" customWidth="1"/>
    <col min="11" max="11" width="3.85546875" customWidth="1"/>
    <col min="12" max="13" width="2.7109375" customWidth="1"/>
    <col min="14" max="14" width="3.5703125" customWidth="1"/>
    <col min="15" max="26" width="2.7109375" customWidth="1"/>
    <col min="27" max="27" width="3.28515625" customWidth="1"/>
    <col min="28" max="41" width="2.7109375" customWidth="1"/>
    <col min="42" max="42" width="3.28515625" customWidth="1"/>
    <col min="43" max="54" width="2.7109375" customWidth="1"/>
    <col min="55" max="55" width="2.85546875" hidden="1" customWidth="1"/>
    <col min="56" max="56" width="13.85546875" hidden="1" customWidth="1"/>
    <col min="57" max="57" width="6.42578125" style="4" hidden="1" customWidth="1"/>
    <col min="58" max="58" width="4.28515625" style="4" hidden="1" customWidth="1"/>
    <col min="59" max="59" width="6.5703125" style="4" hidden="1" customWidth="1"/>
    <col min="60" max="60" width="2.7109375" hidden="1" customWidth="1"/>
    <col min="61" max="113" width="2.7109375" customWidth="1"/>
  </cols>
  <sheetData>
    <row r="2" spans="2:62" ht="21.6" customHeight="1">
      <c r="B2" s="273" t="s">
        <v>0</v>
      </c>
      <c r="C2" s="274"/>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274"/>
      <c r="AD2" s="274"/>
      <c r="AE2" s="274"/>
      <c r="AF2" s="274"/>
      <c r="AG2" s="274"/>
      <c r="AH2" s="274"/>
      <c r="AI2" s="274"/>
      <c r="AJ2" s="274"/>
      <c r="AK2" s="274"/>
      <c r="AL2" s="274"/>
      <c r="AM2" s="274"/>
      <c r="AN2" s="274"/>
      <c r="AO2" s="274"/>
      <c r="AP2" s="274"/>
      <c r="AQ2" s="274"/>
      <c r="AR2" s="274"/>
      <c r="AS2" s="274"/>
      <c r="AT2" s="275"/>
      <c r="BB2" s="2"/>
      <c r="BD2" s="22" t="s">
        <v>11</v>
      </c>
      <c r="BE2" s="23" t="s">
        <v>12</v>
      </c>
      <c r="BF2" s="23" t="s">
        <v>13</v>
      </c>
      <c r="BG2" s="23" t="s">
        <v>14</v>
      </c>
    </row>
    <row r="3" spans="2:62" ht="21.6" customHeight="1">
      <c r="B3" s="276"/>
      <c r="C3" s="277"/>
      <c r="D3" s="277"/>
      <c r="E3" s="277"/>
      <c r="F3" s="277"/>
      <c r="G3" s="277"/>
      <c r="H3" s="277"/>
      <c r="I3" s="277"/>
      <c r="J3" s="277"/>
      <c r="K3" s="277"/>
      <c r="L3" s="277"/>
      <c r="M3" s="277"/>
      <c r="N3" s="277"/>
      <c r="O3" s="277"/>
      <c r="P3" s="277"/>
      <c r="Q3" s="277"/>
      <c r="R3" s="277"/>
      <c r="S3" s="277"/>
      <c r="T3" s="277"/>
      <c r="U3" s="277"/>
      <c r="V3" s="277"/>
      <c r="W3" s="277"/>
      <c r="X3" s="277"/>
      <c r="Y3" s="277"/>
      <c r="Z3" s="277"/>
      <c r="AA3" s="277"/>
      <c r="AB3" s="277"/>
      <c r="AC3" s="277"/>
      <c r="AD3" s="277"/>
      <c r="AE3" s="277"/>
      <c r="AF3" s="277"/>
      <c r="AG3" s="277"/>
      <c r="AH3" s="277"/>
      <c r="AI3" s="277"/>
      <c r="AJ3" s="277"/>
      <c r="AK3" s="277"/>
      <c r="AL3" s="277"/>
      <c r="AM3" s="277"/>
      <c r="AN3" s="277"/>
      <c r="AO3" s="277"/>
      <c r="AP3" s="277"/>
      <c r="AQ3" s="277"/>
      <c r="AR3" s="277"/>
      <c r="AS3" s="277"/>
      <c r="AT3" s="278"/>
      <c r="BB3" s="3"/>
      <c r="BD3" s="22" t="s">
        <v>15</v>
      </c>
      <c r="BE3" s="23">
        <v>11</v>
      </c>
      <c r="BF3" s="23">
        <v>7</v>
      </c>
      <c r="BG3" s="23">
        <v>9</v>
      </c>
    </row>
    <row r="4" spans="2:62" ht="21.6" customHeight="1">
      <c r="B4" s="106"/>
      <c r="C4" s="107"/>
      <c r="D4" s="110" t="str">
        <f>IF(X5="student","STUDENTS MUST MAKE SURE THAT THEIR BANK DETAILS ARE IN RISIS OR THIS CLAIM CANNOT BE PAID","")</f>
        <v>STUDENTS MUST MAKE SURE THAT THEIR BANK DETAILS ARE IN RISIS OR THIS CLAIM CANNOT BE PAID</v>
      </c>
      <c r="E4" s="107"/>
      <c r="F4" s="107"/>
      <c r="G4" s="107"/>
      <c r="H4" s="107"/>
      <c r="I4" s="107"/>
      <c r="J4" s="107"/>
      <c r="K4" s="107"/>
      <c r="L4" s="107"/>
      <c r="M4" s="107"/>
      <c r="N4" s="107"/>
      <c r="O4" s="107"/>
      <c r="P4" s="107"/>
      <c r="Q4" s="107"/>
      <c r="R4" s="107"/>
      <c r="S4" s="107"/>
      <c r="T4" s="107"/>
      <c r="U4" s="109"/>
      <c r="V4" s="108"/>
      <c r="W4" s="108"/>
      <c r="X4" s="108"/>
      <c r="Y4" s="108"/>
      <c r="Z4" s="108"/>
      <c r="AA4" s="108"/>
      <c r="AB4" s="108"/>
      <c r="AC4" s="108"/>
      <c r="AD4" s="108"/>
      <c r="AE4" s="108"/>
      <c r="AF4" s="108"/>
      <c r="AG4" s="108"/>
      <c r="AH4" s="108"/>
      <c r="AI4" s="108"/>
      <c r="AJ4" s="108"/>
      <c r="AK4" s="108"/>
      <c r="AL4" s="108"/>
      <c r="AM4" s="108"/>
      <c r="AN4" s="356" t="s">
        <v>157</v>
      </c>
      <c r="AO4" s="356"/>
      <c r="AP4" s="356"/>
      <c r="AQ4" s="356"/>
      <c r="AR4" s="356"/>
      <c r="AS4" s="356"/>
      <c r="AT4" s="357"/>
      <c r="BB4" s="3"/>
      <c r="BD4" s="22" t="s">
        <v>17</v>
      </c>
      <c r="BE4" s="23">
        <v>14</v>
      </c>
      <c r="BF4" s="23">
        <v>9</v>
      </c>
      <c r="BG4" s="23">
        <v>9</v>
      </c>
    </row>
    <row r="5" spans="2:62" ht="21.6" customHeight="1">
      <c r="B5" s="279" t="s">
        <v>1</v>
      </c>
      <c r="C5" s="280"/>
      <c r="D5" s="280"/>
      <c r="E5" s="280"/>
      <c r="F5" s="280"/>
      <c r="G5" s="349" t="s">
        <v>158</v>
      </c>
      <c r="H5" s="350"/>
      <c r="I5" s="350"/>
      <c r="J5" s="350"/>
      <c r="K5" s="350"/>
      <c r="L5" s="350"/>
      <c r="M5" s="350"/>
      <c r="N5" s="350"/>
      <c r="O5" s="350"/>
      <c r="P5" s="350"/>
      <c r="Q5" s="350"/>
      <c r="R5" s="350"/>
      <c r="S5" s="350"/>
      <c r="T5" s="350"/>
      <c r="U5" s="282" t="s">
        <v>3</v>
      </c>
      <c r="V5" s="282"/>
      <c r="W5" s="282"/>
      <c r="X5" s="349" t="s">
        <v>159</v>
      </c>
      <c r="Y5" s="349"/>
      <c r="Z5" s="349"/>
      <c r="AA5" s="349"/>
      <c r="AB5" s="349"/>
      <c r="AC5" s="283" t="str">
        <f>IF(X5="member of staff", "Employee number :",IF(X5="student","Student Enrolment number:",IF(X5="visitor","National Insurance number:","ID Number")))</f>
        <v>Student Enrolment number:</v>
      </c>
      <c r="AD5" s="283"/>
      <c r="AE5" s="283"/>
      <c r="AF5" s="283"/>
      <c r="AG5" s="283"/>
      <c r="AH5" s="283"/>
      <c r="AI5" s="283"/>
      <c r="AJ5" s="283"/>
      <c r="AK5" s="283"/>
      <c r="AL5" s="349">
        <v>26022764</v>
      </c>
      <c r="AM5" s="350"/>
      <c r="AN5" s="350"/>
      <c r="AO5" s="350"/>
      <c r="AP5" s="350"/>
      <c r="AQ5" s="350"/>
      <c r="AR5" s="350"/>
      <c r="AS5" s="350"/>
      <c r="AT5" s="351"/>
      <c r="BB5" s="3"/>
      <c r="BD5" s="22" t="s">
        <v>20</v>
      </c>
      <c r="BE5" s="23">
        <v>14</v>
      </c>
      <c r="BF5" s="23">
        <v>9</v>
      </c>
      <c r="BG5" s="23">
        <v>11</v>
      </c>
    </row>
    <row r="6" spans="2:62" ht="9" customHeight="1">
      <c r="B6" s="270"/>
      <c r="C6" s="271"/>
      <c r="D6" s="271"/>
      <c r="E6" s="271"/>
      <c r="F6" s="271"/>
      <c r="G6" s="271"/>
      <c r="H6" s="271"/>
      <c r="I6" s="271"/>
      <c r="J6" s="271"/>
      <c r="K6" s="271"/>
      <c r="L6" s="271"/>
      <c r="M6" s="271"/>
      <c r="N6" s="271"/>
      <c r="O6" s="271"/>
      <c r="P6" s="271"/>
      <c r="Q6" s="271"/>
      <c r="R6" s="271"/>
      <c r="S6" s="271"/>
      <c r="T6" s="271"/>
      <c r="U6" s="271"/>
      <c r="V6" s="271"/>
      <c r="W6" s="271"/>
      <c r="X6" s="271"/>
      <c r="Y6" s="271"/>
      <c r="Z6" s="271"/>
      <c r="AA6" s="271"/>
      <c r="AB6" s="271"/>
      <c r="AC6" s="271"/>
      <c r="AD6" s="271"/>
      <c r="AE6" s="271"/>
      <c r="AF6" s="271"/>
      <c r="AG6" s="271"/>
      <c r="AH6" s="271"/>
      <c r="AI6" s="271"/>
      <c r="AJ6" s="271"/>
      <c r="AK6" s="271"/>
      <c r="AL6" s="271"/>
      <c r="AM6" s="271"/>
      <c r="AN6" s="271"/>
      <c r="AO6" s="271"/>
      <c r="AP6" s="271"/>
      <c r="AQ6" s="271"/>
      <c r="AR6" s="271"/>
      <c r="AS6" s="271"/>
      <c r="AT6" s="272"/>
      <c r="BD6" s="22" t="s">
        <v>21</v>
      </c>
      <c r="BE6" s="23">
        <v>21</v>
      </c>
      <c r="BF6" s="23">
        <v>14</v>
      </c>
      <c r="BG6" s="23">
        <v>13</v>
      </c>
    </row>
    <row r="7" spans="2:62" ht="21.6" customHeight="1">
      <c r="B7" s="323" t="s">
        <v>2</v>
      </c>
      <c r="C7" s="324"/>
      <c r="D7" s="324"/>
      <c r="E7" s="324"/>
      <c r="F7" s="325"/>
      <c r="G7" s="354" t="s">
        <v>160</v>
      </c>
      <c r="H7" s="355"/>
      <c r="I7" s="355"/>
      <c r="J7" s="355"/>
      <c r="K7" s="355"/>
      <c r="L7" s="355"/>
      <c r="M7" s="355"/>
      <c r="N7" s="355"/>
      <c r="O7" s="355"/>
      <c r="P7" s="355"/>
      <c r="Q7" s="355"/>
      <c r="R7" s="355"/>
      <c r="S7" s="355"/>
      <c r="T7" s="355"/>
      <c r="U7" s="355"/>
      <c r="V7" s="355"/>
      <c r="W7" s="355"/>
      <c r="X7" s="355"/>
      <c r="Y7" s="355"/>
      <c r="Z7" s="71"/>
      <c r="AA7" s="71"/>
      <c r="AB7" s="71"/>
      <c r="AC7" s="71"/>
      <c r="AD7" s="71"/>
      <c r="AE7" s="71"/>
      <c r="AF7" s="328" t="str">
        <f>IF(X5="visitor","Sort code/BIC"," ")</f>
        <v xml:space="preserve"> </v>
      </c>
      <c r="AG7" s="328"/>
      <c r="AH7" s="328"/>
      <c r="AI7" s="328"/>
      <c r="AJ7" s="328"/>
      <c r="AK7" s="328"/>
      <c r="AL7" s="326" t="str">
        <f>IF(X5="member of staff","For staff",IF(X5="student","For students",""))</f>
        <v>For students</v>
      </c>
      <c r="AM7" s="326"/>
      <c r="AN7" s="326"/>
      <c r="AO7" s="326"/>
      <c r="AP7" s="326"/>
      <c r="AQ7" s="326"/>
      <c r="AR7" s="326"/>
      <c r="AS7" s="326"/>
      <c r="AT7" s="327"/>
    </row>
    <row r="8" spans="2:62" ht="5.0999999999999996" customHeight="1">
      <c r="B8" s="73"/>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4"/>
    </row>
    <row r="9" spans="2:62" ht="21.6" customHeight="1">
      <c r="B9" s="352" t="s">
        <v>60</v>
      </c>
      <c r="C9" s="353"/>
      <c r="D9" s="353"/>
      <c r="E9" s="353"/>
      <c r="F9" s="353"/>
      <c r="G9" s="322" t="s">
        <v>161</v>
      </c>
      <c r="H9" s="322"/>
      <c r="I9" s="322"/>
      <c r="J9" s="322"/>
      <c r="K9" s="322"/>
      <c r="L9" s="322"/>
      <c r="M9" s="322"/>
      <c r="N9" s="322"/>
      <c r="O9" s="322"/>
      <c r="P9" s="322"/>
      <c r="Q9" s="322"/>
      <c r="R9" s="322"/>
      <c r="S9" s="322"/>
      <c r="T9" s="322"/>
      <c r="U9" s="322"/>
      <c r="V9" s="322"/>
      <c r="W9" s="322"/>
      <c r="X9" s="322"/>
      <c r="Y9" s="322"/>
      <c r="Z9" s="72"/>
      <c r="AA9" s="72"/>
      <c r="AB9" s="72"/>
      <c r="AC9" s="72"/>
      <c r="AD9" s="72"/>
      <c r="AE9" s="72"/>
      <c r="AF9" s="328" t="str">
        <f>IF(X5="visitor","Account code/IBAN"," ")</f>
        <v xml:space="preserve"> </v>
      </c>
      <c r="AG9" s="328"/>
      <c r="AH9" s="328"/>
      <c r="AI9" s="328"/>
      <c r="AJ9" s="328"/>
      <c r="AK9" s="328"/>
      <c r="AL9" s="326" t="str">
        <f>IF(X5="member of staff","your Trent",IF(X5="student","your RISIS",""))</f>
        <v>your RISIS</v>
      </c>
      <c r="AM9" s="326"/>
      <c r="AN9" s="326"/>
      <c r="AO9" s="326"/>
      <c r="AP9" s="326"/>
      <c r="AQ9" s="326"/>
      <c r="AR9" s="326"/>
      <c r="AS9" s="326"/>
      <c r="AT9" s="327"/>
      <c r="BD9" s="46"/>
      <c r="BE9" s="47"/>
      <c r="BF9" s="47"/>
      <c r="BG9" s="47"/>
      <c r="BH9" s="46"/>
      <c r="BI9" s="46"/>
      <c r="BJ9" s="46"/>
    </row>
    <row r="10" spans="2:62" ht="5.0999999999999996" customHeight="1">
      <c r="B10" s="73"/>
      <c r="C10" s="71"/>
      <c r="D10" s="71"/>
      <c r="E10" s="71"/>
      <c r="F10" s="72"/>
      <c r="G10" s="322"/>
      <c r="H10" s="322"/>
      <c r="I10" s="322"/>
      <c r="J10" s="322"/>
      <c r="K10" s="322"/>
      <c r="L10" s="322"/>
      <c r="M10" s="322"/>
      <c r="N10" s="322"/>
      <c r="O10" s="322"/>
      <c r="P10" s="322"/>
      <c r="Q10" s="322"/>
      <c r="R10" s="322"/>
      <c r="S10" s="322"/>
      <c r="T10" s="322"/>
      <c r="U10" s="322"/>
      <c r="V10" s="322"/>
      <c r="W10" s="322"/>
      <c r="X10" s="322"/>
      <c r="Y10" s="322"/>
      <c r="Z10" s="72"/>
      <c r="AA10" s="72"/>
      <c r="AB10" s="72"/>
      <c r="AC10" s="72"/>
      <c r="AD10" s="72"/>
      <c r="AE10" s="72"/>
      <c r="AF10" s="72"/>
      <c r="AG10" s="72"/>
      <c r="AH10" s="72"/>
      <c r="AI10" s="72"/>
      <c r="AJ10" s="72"/>
      <c r="AK10" s="72"/>
      <c r="AL10" s="72"/>
      <c r="AM10" s="72"/>
      <c r="AN10" s="72"/>
      <c r="AO10" s="72"/>
      <c r="AP10" s="72"/>
      <c r="AQ10" s="72"/>
      <c r="AR10" s="72"/>
      <c r="AS10" s="72"/>
      <c r="AT10" s="99"/>
      <c r="BD10" s="46"/>
      <c r="BE10" s="47"/>
      <c r="BF10" s="47"/>
      <c r="BG10" s="47"/>
      <c r="BH10" s="46"/>
      <c r="BI10" s="46"/>
      <c r="BJ10" s="46"/>
    </row>
    <row r="11" spans="2:62" ht="21.6" customHeight="1">
      <c r="B11" s="75"/>
      <c r="C11" s="76"/>
      <c r="D11" s="76"/>
      <c r="E11" s="76"/>
      <c r="F11" s="72"/>
      <c r="G11" s="322"/>
      <c r="H11" s="322"/>
      <c r="I11" s="322"/>
      <c r="J11" s="322"/>
      <c r="K11" s="322"/>
      <c r="L11" s="322"/>
      <c r="M11" s="322"/>
      <c r="N11" s="322"/>
      <c r="O11" s="322"/>
      <c r="P11" s="322"/>
      <c r="Q11" s="322"/>
      <c r="R11" s="322"/>
      <c r="S11" s="322"/>
      <c r="T11" s="322"/>
      <c r="U11" s="322"/>
      <c r="V11" s="322"/>
      <c r="W11" s="322"/>
      <c r="X11" s="322"/>
      <c r="Y11" s="322"/>
      <c r="Z11" s="72"/>
      <c r="AA11" s="72"/>
      <c r="AB11" s="72"/>
      <c r="AC11" s="72"/>
      <c r="AD11" s="72"/>
      <c r="AE11" s="72"/>
      <c r="AF11" s="328" t="str">
        <f>IF(X5="visitor","Bldg society roll"," ")</f>
        <v xml:space="preserve"> </v>
      </c>
      <c r="AG11" s="328"/>
      <c r="AH11" s="328"/>
      <c r="AI11" s="328"/>
      <c r="AJ11" s="328"/>
      <c r="AK11" s="328"/>
      <c r="AL11" s="326" t="str">
        <f>IF(OR(X5="visitor",X5=0)," ","bank details will be used")</f>
        <v>bank details will be used</v>
      </c>
      <c r="AM11" s="326"/>
      <c r="AN11" s="326"/>
      <c r="AO11" s="326"/>
      <c r="AP11" s="326"/>
      <c r="AQ11" s="326"/>
      <c r="AR11" s="326"/>
      <c r="AS11" s="326"/>
      <c r="AT11" s="327"/>
      <c r="BD11" s="393"/>
      <c r="BE11" s="393"/>
      <c r="BF11" s="393"/>
      <c r="BG11" s="393"/>
      <c r="BH11" s="393"/>
      <c r="BI11" s="393"/>
      <c r="BJ11" s="393"/>
    </row>
    <row r="12" spans="2:62" ht="14.25" customHeight="1">
      <c r="B12" s="329"/>
      <c r="C12" s="244"/>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330"/>
      <c r="BD12" s="46"/>
      <c r="BE12" s="47"/>
      <c r="BF12" s="47"/>
      <c r="BG12" s="47"/>
      <c r="BH12" s="46"/>
      <c r="BI12" s="46"/>
      <c r="BJ12" s="46"/>
    </row>
    <row r="13" spans="2:62" ht="21.6" customHeight="1">
      <c r="B13" s="331" t="s">
        <v>86</v>
      </c>
      <c r="C13" s="332"/>
      <c r="D13" s="332"/>
      <c r="E13" s="332"/>
      <c r="F13" s="332"/>
      <c r="G13" s="332"/>
      <c r="H13" s="332"/>
      <c r="I13" s="332"/>
      <c r="J13" s="332"/>
      <c r="K13" s="332"/>
      <c r="L13" s="332"/>
      <c r="M13" s="332"/>
      <c r="N13" s="332"/>
      <c r="O13" s="332"/>
      <c r="P13" s="332"/>
      <c r="Q13" s="332"/>
      <c r="R13" s="332"/>
      <c r="S13" s="332"/>
      <c r="T13" s="333"/>
      <c r="U13" s="333"/>
      <c r="V13" s="333"/>
      <c r="W13" s="333"/>
      <c r="X13" s="333"/>
      <c r="Y13" s="333"/>
      <c r="Z13" s="333"/>
      <c r="AA13" s="334"/>
      <c r="AB13" s="334"/>
      <c r="AC13" s="334"/>
      <c r="AD13" s="334"/>
      <c r="AE13" s="334"/>
      <c r="AF13" s="334"/>
      <c r="AG13" s="334"/>
      <c r="AH13" s="334"/>
      <c r="AI13" s="334"/>
      <c r="AJ13" s="334"/>
      <c r="AK13" s="334"/>
      <c r="AL13" s="334"/>
      <c r="AM13" s="335"/>
      <c r="AN13" s="335"/>
      <c r="AO13" s="335"/>
      <c r="AP13" s="335"/>
      <c r="AQ13" s="335"/>
      <c r="AR13" s="335"/>
      <c r="AS13" s="335"/>
      <c r="AT13" s="336"/>
    </row>
    <row r="14" spans="2:62" ht="21.6" hidden="1" customHeight="1">
      <c r="B14" s="178" t="s">
        <v>9</v>
      </c>
      <c r="C14" s="179"/>
      <c r="D14" s="174"/>
      <c r="E14" s="175"/>
      <c r="F14" s="175"/>
      <c r="G14" s="175"/>
      <c r="H14" s="175"/>
      <c r="I14" s="175"/>
      <c r="J14" s="175"/>
      <c r="K14" s="175"/>
      <c r="L14" s="180"/>
      <c r="M14" s="178" t="s">
        <v>10</v>
      </c>
      <c r="N14" s="179"/>
      <c r="O14" s="174"/>
      <c r="P14" s="175"/>
      <c r="Q14" s="175"/>
      <c r="R14" s="175"/>
      <c r="S14" s="175"/>
      <c r="T14" s="176"/>
      <c r="U14" s="176"/>
      <c r="V14" s="176"/>
      <c r="W14" s="176"/>
      <c r="X14" s="177"/>
      <c r="Y14" s="171" t="str">
        <f>IF(OR(AA13="Personal/ Not a UoR salary exchange car",AA13="Motorcycle"),"Engine size","*Engine size")</f>
        <v>*Engine size</v>
      </c>
      <c r="Z14" s="172"/>
      <c r="AA14" s="172"/>
      <c r="AB14" s="173"/>
      <c r="AC14" s="168"/>
      <c r="AD14" s="169"/>
      <c r="AE14" s="169"/>
      <c r="AF14" s="169"/>
      <c r="AG14" s="169"/>
      <c r="AH14" s="170"/>
      <c r="AI14" s="171" t="str">
        <f>IF(OR(AA13="Personal/ Not a UoR salary exchange car",AA13="Motorcycle"),"Fuel type","*Fuel type")</f>
        <v>*Fuel type</v>
      </c>
      <c r="AJ14" s="172"/>
      <c r="AK14" s="172"/>
      <c r="AL14" s="173"/>
      <c r="AM14" s="168"/>
      <c r="AN14" s="169"/>
      <c r="AO14" s="169"/>
      <c r="AP14" s="170"/>
      <c r="AQ14" s="50"/>
      <c r="AR14" s="50"/>
      <c r="AS14" s="50"/>
      <c r="AT14" s="51"/>
    </row>
    <row r="15" spans="2:62" ht="23.25" hidden="1" customHeight="1">
      <c r="B15" s="146" t="s">
        <v>89</v>
      </c>
      <c r="C15" s="147"/>
      <c r="D15" s="147"/>
      <c r="E15" s="147"/>
      <c r="F15" s="147"/>
      <c r="G15" s="147"/>
      <c r="H15" s="147"/>
      <c r="I15" s="147"/>
      <c r="J15" s="147"/>
      <c r="K15" s="148"/>
      <c r="L15" s="143">
        <v>1E-10</v>
      </c>
      <c r="M15" s="144"/>
      <c r="N15" s="145"/>
      <c r="O15" s="10"/>
      <c r="P15" s="141" t="s">
        <v>33</v>
      </c>
      <c r="Q15" s="141"/>
      <c r="R15" s="141"/>
      <c r="S15" s="141"/>
      <c r="T15" s="141"/>
      <c r="U15" s="141"/>
      <c r="V15" s="141"/>
      <c r="W15" s="141"/>
      <c r="X15" s="142"/>
      <c r="Y15" s="138">
        <f>L15+AE24</f>
        <v>1E-10</v>
      </c>
      <c r="Z15" s="139"/>
      <c r="AA15" s="140"/>
      <c r="AB15" s="135" t="s">
        <v>85</v>
      </c>
      <c r="AC15" s="136"/>
      <c r="AD15" s="136"/>
      <c r="AE15" s="136"/>
      <c r="AF15" s="136"/>
      <c r="AG15" s="136"/>
      <c r="AH15" s="137"/>
      <c r="AI15" s="132" t="s">
        <v>83</v>
      </c>
      <c r="AJ15" s="133"/>
      <c r="AK15" s="133"/>
      <c r="AL15" s="133"/>
      <c r="AM15" s="133"/>
      <c r="AN15" s="133"/>
      <c r="AO15" s="133"/>
      <c r="AP15" s="133"/>
      <c r="AQ15" s="133"/>
      <c r="AR15" s="133"/>
      <c r="AS15" s="133"/>
      <c r="AT15" s="134"/>
      <c r="BD15" s="22" t="str">
        <f>IF(Y15=0,0,IF(Y15&gt;10000,"Yes", "No"))</f>
        <v>No</v>
      </c>
    </row>
    <row r="16" spans="2:62" ht="21.6" hidden="1" customHeight="1">
      <c r="B16" s="318" t="s">
        <v>4</v>
      </c>
      <c r="C16" s="319"/>
      <c r="D16" s="319"/>
      <c r="E16" s="320"/>
      <c r="F16" s="318" t="s">
        <v>26</v>
      </c>
      <c r="G16" s="319"/>
      <c r="H16" s="319"/>
      <c r="I16" s="319"/>
      <c r="J16" s="319"/>
      <c r="K16" s="319"/>
      <c r="L16" s="319"/>
      <c r="M16" s="319"/>
      <c r="N16" s="319"/>
      <c r="O16" s="319"/>
      <c r="P16" s="319"/>
      <c r="Q16" s="319"/>
      <c r="R16" s="319"/>
      <c r="S16" s="319"/>
      <c r="T16" s="319"/>
      <c r="U16" s="319"/>
      <c r="V16" s="319"/>
      <c r="W16" s="319"/>
      <c r="X16" s="319"/>
      <c r="Y16" s="319"/>
      <c r="Z16" s="321"/>
      <c r="AA16" s="319"/>
      <c r="AB16" s="319"/>
      <c r="AC16" s="319"/>
      <c r="AD16" s="320"/>
      <c r="AE16" s="337" t="s">
        <v>91</v>
      </c>
      <c r="AF16" s="338"/>
      <c r="AG16" s="338"/>
      <c r="AH16" s="339"/>
      <c r="AI16" s="337" t="s">
        <v>5</v>
      </c>
      <c r="AJ16" s="338"/>
      <c r="AK16" s="338"/>
      <c r="AL16" s="339"/>
      <c r="AM16" s="337" t="s">
        <v>6</v>
      </c>
      <c r="AN16" s="338"/>
      <c r="AO16" s="338"/>
      <c r="AP16" s="339"/>
      <c r="AQ16" s="340" t="s">
        <v>90</v>
      </c>
      <c r="AR16" s="341"/>
      <c r="AS16" s="341"/>
      <c r="AT16" s="342"/>
      <c r="BD16" s="22"/>
    </row>
    <row r="17" spans="2:62" ht="21.6" hidden="1" customHeight="1">
      <c r="B17" s="305"/>
      <c r="C17" s="306"/>
      <c r="D17" s="306"/>
      <c r="E17" s="307"/>
      <c r="F17" s="308"/>
      <c r="G17" s="309"/>
      <c r="H17" s="309"/>
      <c r="I17" s="309"/>
      <c r="J17" s="309"/>
      <c r="K17" s="309"/>
      <c r="L17" s="309"/>
      <c r="M17" s="309"/>
      <c r="N17" s="309"/>
      <c r="O17" s="309"/>
      <c r="P17" s="309"/>
      <c r="Q17" s="309"/>
      <c r="R17" s="309"/>
      <c r="S17" s="309"/>
      <c r="T17" s="309"/>
      <c r="U17" s="309"/>
      <c r="V17" s="309"/>
      <c r="W17" s="309"/>
      <c r="X17" s="309"/>
      <c r="Y17" s="309"/>
      <c r="Z17" s="309"/>
      <c r="AA17" s="309"/>
      <c r="AB17" s="309"/>
      <c r="AC17" s="309"/>
      <c r="AD17" s="310"/>
      <c r="AE17" s="311"/>
      <c r="AF17" s="312"/>
      <c r="AG17" s="312"/>
      <c r="AH17" s="313"/>
      <c r="AI17" s="316">
        <f>IF(ISNA(VLOOKUP($BD17,Rates,7,FALSE)),0,(VLOOKUP($BD17,Rates,7,FALSE)))</f>
        <v>0</v>
      </c>
      <c r="AJ17" s="317"/>
      <c r="AK17" s="317"/>
      <c r="AL17" s="1" t="s">
        <v>24</v>
      </c>
      <c r="AM17" s="316">
        <f>IF(ISNA(VLOOKUP($BD17,Rates,8,FALSE)),0,(VLOOKUP($BD17,Rates,8,FALSE)))</f>
        <v>0</v>
      </c>
      <c r="AN17" s="317"/>
      <c r="AO17" s="317"/>
      <c r="AP17" s="1" t="s">
        <v>24</v>
      </c>
      <c r="AQ17" s="343">
        <f>IF(AE17=0,0,IF(AE17&lt;71,AE17*AI17/100,IF(AE17&gt;70,70*(AI17/100)+(AE17-70)*AM17/100)))</f>
        <v>0</v>
      </c>
      <c r="AR17" s="344"/>
      <c r="AS17" s="344"/>
      <c r="AT17" s="345"/>
      <c r="BD17" s="22" t="str">
        <f>CONCATENATE($AA$13,$AC$14,$AM$14,$BD$15)</f>
        <v>No</v>
      </c>
    </row>
    <row r="18" spans="2:62" s="22" customFormat="1" ht="21.6" hidden="1" customHeight="1">
      <c r="B18" s="305"/>
      <c r="C18" s="306"/>
      <c r="D18" s="306"/>
      <c r="E18" s="307"/>
      <c r="F18" s="308"/>
      <c r="G18" s="309"/>
      <c r="H18" s="309"/>
      <c r="I18" s="309"/>
      <c r="J18" s="309"/>
      <c r="K18" s="309"/>
      <c r="L18" s="309"/>
      <c r="M18" s="309"/>
      <c r="N18" s="309"/>
      <c r="O18" s="309"/>
      <c r="P18" s="309"/>
      <c r="Q18" s="309"/>
      <c r="R18" s="309"/>
      <c r="S18" s="309"/>
      <c r="T18" s="309"/>
      <c r="U18" s="309"/>
      <c r="V18" s="309"/>
      <c r="W18" s="309"/>
      <c r="X18" s="309"/>
      <c r="Y18" s="309"/>
      <c r="Z18" s="309"/>
      <c r="AA18" s="309"/>
      <c r="AB18" s="309"/>
      <c r="AC18" s="309"/>
      <c r="AD18" s="310"/>
      <c r="AE18" s="311"/>
      <c r="AF18" s="312"/>
      <c r="AG18" s="312"/>
      <c r="AH18" s="313"/>
      <c r="AI18" s="316">
        <f>IF(ISNA(VLOOKUP($BD18,Rates,7,FALSE)),0,(VLOOKUP($BD18,Rates,7,FALSE)))</f>
        <v>0</v>
      </c>
      <c r="AJ18" s="317"/>
      <c r="AK18" s="317"/>
      <c r="AL18" s="1" t="s">
        <v>24</v>
      </c>
      <c r="AM18" s="316">
        <f>IF(ISNA(VLOOKUP($BD18,Rates,8,FALSE)),0,(VLOOKUP($BD18,Rates,8,FALSE)))</f>
        <v>0</v>
      </c>
      <c r="AN18" s="317"/>
      <c r="AO18" s="317"/>
      <c r="AP18" s="1" t="s">
        <v>24</v>
      </c>
      <c r="AQ18" s="343">
        <f>IF(AE18=0,0,IF(AE18&lt;71,AE18*AI18/100,IF(AE18&gt;70,70*(AI18/100)+(AE18-70)*AM18/100)))</f>
        <v>0</v>
      </c>
      <c r="AR18" s="344"/>
      <c r="AS18" s="344"/>
      <c r="AT18" s="345"/>
      <c r="BD18" s="22" t="str">
        <f>CONCATENATE($AA$13,$AC$14,$AM$14,$BD$15)</f>
        <v>No</v>
      </c>
      <c r="BE18" s="54"/>
      <c r="BF18" s="54"/>
      <c r="BG18" s="54"/>
    </row>
    <row r="19" spans="2:62" ht="21.6" hidden="1" customHeight="1">
      <c r="B19" s="305"/>
      <c r="C19" s="306"/>
      <c r="D19" s="306"/>
      <c r="E19" s="307"/>
      <c r="F19" s="346"/>
      <c r="G19" s="309"/>
      <c r="H19" s="309"/>
      <c r="I19" s="309"/>
      <c r="J19" s="309"/>
      <c r="K19" s="309"/>
      <c r="L19" s="309"/>
      <c r="M19" s="309"/>
      <c r="N19" s="309"/>
      <c r="O19" s="309"/>
      <c r="P19" s="309"/>
      <c r="Q19" s="309"/>
      <c r="R19" s="309"/>
      <c r="S19" s="309"/>
      <c r="T19" s="309"/>
      <c r="U19" s="309"/>
      <c r="V19" s="309"/>
      <c r="W19" s="309"/>
      <c r="X19" s="309"/>
      <c r="Y19" s="309"/>
      <c r="Z19" s="309"/>
      <c r="AA19" s="309"/>
      <c r="AB19" s="309"/>
      <c r="AC19" s="309"/>
      <c r="AD19" s="310"/>
      <c r="AE19" s="311"/>
      <c r="AF19" s="312"/>
      <c r="AG19" s="312"/>
      <c r="AH19" s="313"/>
      <c r="AI19" s="316">
        <f>IF(ISNA(VLOOKUP($BD19,Rates,7,FALSE)),0,(VLOOKUP($BD19,Rates,7,FALSE)))</f>
        <v>0</v>
      </c>
      <c r="AJ19" s="317"/>
      <c r="AK19" s="317"/>
      <c r="AL19" s="1" t="s">
        <v>24</v>
      </c>
      <c r="AM19" s="316">
        <f>IF(ISNA(VLOOKUP($BD19,Rates,8,FALSE)),0,(VLOOKUP($BD19,Rates,8,FALSE)))</f>
        <v>0</v>
      </c>
      <c r="AN19" s="317"/>
      <c r="AO19" s="317"/>
      <c r="AP19" s="1" t="s">
        <v>24</v>
      </c>
      <c r="AQ19" s="343">
        <f t="shared" ref="AQ19:AQ22" si="0">IF(AE19=0,0,IF(AE19&lt;71,AE19*AI19/100,IF(AE19&gt;70,70*(AI19/100)+(AE19-70)*AM19/100)))</f>
        <v>0</v>
      </c>
      <c r="AR19" s="344"/>
      <c r="AS19" s="344"/>
      <c r="AT19" s="345"/>
      <c r="BD19" s="22" t="str">
        <f>CONCATENATE($AA$13,$AC$14,$AM$14,$BD$15)</f>
        <v>No</v>
      </c>
    </row>
    <row r="20" spans="2:62" ht="21.6" hidden="1" customHeight="1">
      <c r="B20" s="305"/>
      <c r="C20" s="306"/>
      <c r="D20" s="306"/>
      <c r="E20" s="307"/>
      <c r="F20" s="346"/>
      <c r="G20" s="309"/>
      <c r="H20" s="309"/>
      <c r="I20" s="309"/>
      <c r="J20" s="309"/>
      <c r="K20" s="309"/>
      <c r="L20" s="309"/>
      <c r="M20" s="309"/>
      <c r="N20" s="309"/>
      <c r="O20" s="309"/>
      <c r="P20" s="309"/>
      <c r="Q20" s="309"/>
      <c r="R20" s="309"/>
      <c r="S20" s="309"/>
      <c r="T20" s="309"/>
      <c r="U20" s="309"/>
      <c r="V20" s="309"/>
      <c r="W20" s="309"/>
      <c r="X20" s="309"/>
      <c r="Y20" s="309"/>
      <c r="Z20" s="309"/>
      <c r="AA20" s="309"/>
      <c r="AB20" s="309"/>
      <c r="AC20" s="309"/>
      <c r="AD20" s="310"/>
      <c r="AE20" s="311"/>
      <c r="AF20" s="312"/>
      <c r="AG20" s="312"/>
      <c r="AH20" s="313"/>
      <c r="AI20" s="347">
        <f>IF(ISNA(VLOOKUP($BD20,Rates,7,FALSE)),0,(VLOOKUP($BD20,Rates,7,FALSE)))</f>
        <v>0</v>
      </c>
      <c r="AJ20" s="348"/>
      <c r="AK20" s="348"/>
      <c r="AL20" s="55" t="s">
        <v>24</v>
      </c>
      <c r="AM20" s="347">
        <f>IF(ISNA(VLOOKUP($BD20,Rates,8,FALSE)),0,(VLOOKUP($BD20,Rates,8,FALSE)))</f>
        <v>0</v>
      </c>
      <c r="AN20" s="348"/>
      <c r="AO20" s="348"/>
      <c r="AP20" s="55" t="s">
        <v>24</v>
      </c>
      <c r="AQ20" s="288">
        <f t="shared" si="0"/>
        <v>0</v>
      </c>
      <c r="AR20" s="289"/>
      <c r="AS20" s="289"/>
      <c r="AT20" s="290"/>
      <c r="BD20" s="22" t="str">
        <f>CONCATENATE($AA$13,$AC$14,$AM$14,$BD$15)</f>
        <v>No</v>
      </c>
    </row>
    <row r="21" spans="2:62" s="22" customFormat="1" ht="21.6" hidden="1" customHeight="1">
      <c r="B21" s="377"/>
      <c r="C21" s="377"/>
      <c r="D21" s="377"/>
      <c r="E21" s="378"/>
      <c r="F21" s="318" t="s">
        <v>94</v>
      </c>
      <c r="G21" s="319"/>
      <c r="H21" s="319"/>
      <c r="I21" s="319"/>
      <c r="J21" s="319"/>
      <c r="K21" s="319"/>
      <c r="L21" s="319"/>
      <c r="M21" s="319"/>
      <c r="N21" s="319"/>
      <c r="O21" s="319"/>
      <c r="P21" s="319"/>
      <c r="Q21" s="319"/>
      <c r="R21" s="319"/>
      <c r="S21" s="319"/>
      <c r="T21" s="319"/>
      <c r="U21" s="319"/>
      <c r="V21" s="319"/>
      <c r="W21" s="319"/>
      <c r="X21" s="319"/>
      <c r="Y21" s="319"/>
      <c r="Z21" s="321"/>
      <c r="AA21" s="319"/>
      <c r="AB21" s="319"/>
      <c r="AC21" s="319"/>
      <c r="AD21" s="320"/>
      <c r="AE21" s="337" t="s">
        <v>93</v>
      </c>
      <c r="AF21" s="338"/>
      <c r="AG21" s="338"/>
      <c r="AH21" s="339"/>
      <c r="AI21" s="379"/>
      <c r="AJ21" s="377"/>
      <c r="AK21" s="377"/>
      <c r="AL21" s="377"/>
      <c r="AM21" s="377"/>
      <c r="AN21" s="377"/>
      <c r="AO21" s="377"/>
      <c r="AP21" s="377"/>
      <c r="AQ21" s="380"/>
      <c r="AR21" s="380"/>
      <c r="AS21" s="380"/>
      <c r="AT21" s="381"/>
      <c r="BE21" s="54"/>
      <c r="BF21" s="54"/>
      <c r="BG21" s="54"/>
    </row>
    <row r="22" spans="2:62" ht="21.6" hidden="1" customHeight="1">
      <c r="B22" s="305"/>
      <c r="C22" s="306"/>
      <c r="D22" s="306"/>
      <c r="E22" s="307"/>
      <c r="F22" s="308" t="str">
        <f>IF(AA13="Motorcycle","Not available for motorcycle journeys"," ")</f>
        <v xml:space="preserve"> </v>
      </c>
      <c r="G22" s="309"/>
      <c r="H22" s="309"/>
      <c r="I22" s="309"/>
      <c r="J22" s="309"/>
      <c r="K22" s="309"/>
      <c r="L22" s="309"/>
      <c r="M22" s="309"/>
      <c r="N22" s="309"/>
      <c r="O22" s="309"/>
      <c r="P22" s="309"/>
      <c r="Q22" s="309"/>
      <c r="R22" s="309"/>
      <c r="S22" s="309"/>
      <c r="T22" s="309"/>
      <c r="U22" s="309"/>
      <c r="V22" s="309"/>
      <c r="W22" s="309"/>
      <c r="X22" s="309"/>
      <c r="Y22" s="309"/>
      <c r="Z22" s="309"/>
      <c r="AA22" s="309"/>
      <c r="AB22" s="309"/>
      <c r="AC22" s="309"/>
      <c r="AD22" s="310"/>
      <c r="AE22" s="311"/>
      <c r="AF22" s="312"/>
      <c r="AG22" s="312"/>
      <c r="AH22" s="313"/>
      <c r="AI22" s="314">
        <f>IF(OR(AE22=0,$AA$13="Motorcycle"),0,'Mileage rates and intercampus '!$E$20)</f>
        <v>0</v>
      </c>
      <c r="AJ22" s="315"/>
      <c r="AK22" s="315"/>
      <c r="AL22" s="56" t="s">
        <v>24</v>
      </c>
      <c r="AM22" s="314">
        <f>AI22</f>
        <v>0</v>
      </c>
      <c r="AN22" s="315"/>
      <c r="AO22" s="315"/>
      <c r="AP22" s="56" t="s">
        <v>24</v>
      </c>
      <c r="AQ22" s="397">
        <f t="shared" si="0"/>
        <v>0</v>
      </c>
      <c r="AR22" s="398"/>
      <c r="AS22" s="398"/>
      <c r="AT22" s="399"/>
      <c r="BD22" s="22" t="str">
        <f>CONCATENATE($AA$13,$AC$14,$AM$14,$BD$15)</f>
        <v>No</v>
      </c>
    </row>
    <row r="23" spans="2:62" ht="21.6" hidden="1" customHeight="1">
      <c r="B23" s="305"/>
      <c r="C23" s="306"/>
      <c r="D23" s="306"/>
      <c r="E23" s="307"/>
      <c r="F23" s="308" t="str">
        <f>IF(AA13="Motorcycle","Not available for motorcycle journeys"," ")</f>
        <v xml:space="preserve"> </v>
      </c>
      <c r="G23" s="309"/>
      <c r="H23" s="309"/>
      <c r="I23" s="309"/>
      <c r="J23" s="309"/>
      <c r="K23" s="309"/>
      <c r="L23" s="309"/>
      <c r="M23" s="309"/>
      <c r="N23" s="309"/>
      <c r="O23" s="309"/>
      <c r="P23" s="309"/>
      <c r="Q23" s="309"/>
      <c r="R23" s="309"/>
      <c r="S23" s="309"/>
      <c r="T23" s="309"/>
      <c r="U23" s="309"/>
      <c r="V23" s="309"/>
      <c r="W23" s="309"/>
      <c r="X23" s="309"/>
      <c r="Y23" s="309"/>
      <c r="Z23" s="309"/>
      <c r="AA23" s="309"/>
      <c r="AB23" s="309"/>
      <c r="AC23" s="309"/>
      <c r="AD23" s="310"/>
      <c r="AE23" s="311"/>
      <c r="AF23" s="312"/>
      <c r="AG23" s="312"/>
      <c r="AH23" s="313"/>
      <c r="AI23" s="314">
        <f>IF(OR(AE23=0,$AA$13="Motorcycle"),0,'Mileage rates and intercampus '!$E$20)</f>
        <v>0</v>
      </c>
      <c r="AJ23" s="315"/>
      <c r="AK23" s="315"/>
      <c r="AL23" s="1" t="s">
        <v>24</v>
      </c>
      <c r="AM23" s="314">
        <f>AI23</f>
        <v>0</v>
      </c>
      <c r="AN23" s="315"/>
      <c r="AO23" s="315"/>
      <c r="AP23" s="1" t="s">
        <v>24</v>
      </c>
      <c r="AQ23" s="288">
        <f t="shared" ref="AQ23" si="1">IF(AE23=0,0,IF(AE23&lt;71,AE23*AI23/100,IF(AE23&gt;70,70*(AI23/100)+(AE23-70)*AM23/100)))</f>
        <v>0</v>
      </c>
      <c r="AR23" s="289"/>
      <c r="AS23" s="289"/>
      <c r="AT23" s="290"/>
      <c r="BD23" s="22" t="str">
        <f>CONCATENATE($AA$13,$AC$14,$AM$14,$BD$15)</f>
        <v>No</v>
      </c>
    </row>
    <row r="24" spans="2:62" ht="21.6" customHeight="1">
      <c r="B24" s="372" t="s">
        <v>141</v>
      </c>
      <c r="C24" s="366"/>
      <c r="D24" s="366"/>
      <c r="E24" s="366"/>
      <c r="F24" s="366"/>
      <c r="G24" s="366"/>
      <c r="H24" s="366"/>
      <c r="I24" s="366"/>
      <c r="J24" s="366"/>
      <c r="K24" s="366"/>
      <c r="L24" s="366"/>
      <c r="M24" s="366"/>
      <c r="N24" s="366"/>
      <c r="O24" s="366"/>
      <c r="P24" s="366"/>
      <c r="Q24" s="366"/>
      <c r="R24" s="366"/>
      <c r="S24" s="366"/>
      <c r="T24" s="366"/>
      <c r="U24" s="366"/>
      <c r="V24" s="366"/>
      <c r="W24" s="367"/>
      <c r="X24" s="370" t="s">
        <v>122</v>
      </c>
      <c r="Y24" s="370"/>
      <c r="Z24" s="370"/>
      <c r="AA24" s="370"/>
      <c r="AB24" s="370"/>
      <c r="AC24" s="370"/>
      <c r="AD24" s="371"/>
      <c r="AE24" s="199">
        <f>AE96</f>
        <v>0</v>
      </c>
      <c r="AF24" s="200"/>
      <c r="AG24" s="200"/>
      <c r="AH24" s="201"/>
      <c r="AI24" s="366" t="s">
        <v>121</v>
      </c>
      <c r="AJ24" s="366"/>
      <c r="AK24" s="366"/>
      <c r="AL24" s="366"/>
      <c r="AM24" s="366"/>
      <c r="AN24" s="366"/>
      <c r="AO24" s="366"/>
      <c r="AP24" s="367"/>
      <c r="AQ24" s="202">
        <f>AQ96</f>
        <v>0</v>
      </c>
      <c r="AR24" s="167"/>
      <c r="AS24" s="167"/>
      <c r="AT24" s="203"/>
    </row>
    <row r="25" spans="2:62" ht="9" customHeight="1">
      <c r="B25" s="358"/>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59"/>
      <c r="AP25" s="359"/>
      <c r="AQ25" s="359"/>
      <c r="AR25" s="359"/>
      <c r="AS25" s="359"/>
      <c r="AT25" s="360"/>
    </row>
    <row r="26" spans="2:62" s="97" customFormat="1" ht="18" customHeight="1">
      <c r="B26" s="331" t="s">
        <v>25</v>
      </c>
      <c r="C26" s="332"/>
      <c r="D26" s="332"/>
      <c r="E26" s="332"/>
      <c r="F26" s="332"/>
      <c r="G26" s="332"/>
      <c r="H26" s="332"/>
      <c r="I26" s="332"/>
      <c r="J26" s="332"/>
      <c r="K26" s="361" t="s">
        <v>142</v>
      </c>
      <c r="L26" s="361"/>
      <c r="M26" s="361"/>
      <c r="N26" s="361"/>
      <c r="O26" s="361"/>
      <c r="P26" s="361"/>
      <c r="Q26" s="361"/>
      <c r="R26" s="361"/>
      <c r="S26" s="361"/>
      <c r="T26" s="361"/>
      <c r="U26" s="361"/>
      <c r="V26" s="361"/>
      <c r="W26" s="361"/>
      <c r="X26" s="361"/>
      <c r="Y26" s="361"/>
      <c r="Z26" s="361"/>
      <c r="AA26" s="361"/>
      <c r="AB26" s="361"/>
      <c r="AC26" s="361"/>
      <c r="AD26" s="361"/>
      <c r="AE26" s="361"/>
      <c r="AF26" s="361"/>
      <c r="AG26" s="361"/>
      <c r="AH26" s="361"/>
      <c r="AI26" s="361"/>
      <c r="AJ26" s="361"/>
      <c r="AK26" s="361"/>
      <c r="AL26" s="361"/>
      <c r="AM26" s="361"/>
      <c r="AN26" s="361"/>
      <c r="AO26" s="361"/>
      <c r="AP26" s="361"/>
      <c r="AQ26" s="361"/>
      <c r="AR26" s="361"/>
      <c r="AS26" s="361"/>
      <c r="AT26" s="362"/>
      <c r="BA26" s="98"/>
      <c r="BB26" s="27"/>
      <c r="BC26" s="27"/>
      <c r="BD26" s="27"/>
      <c r="BE26" s="30"/>
      <c r="BF26" s="30"/>
      <c r="BG26" s="30"/>
      <c r="BH26" s="30"/>
      <c r="BI26" s="30"/>
    </row>
    <row r="27" spans="2:62" ht="21.6" customHeight="1">
      <c r="B27" s="358" t="s">
        <v>4</v>
      </c>
      <c r="C27" s="359"/>
      <c r="D27" s="359"/>
      <c r="E27" s="360"/>
      <c r="F27" s="368" t="s">
        <v>124</v>
      </c>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95"/>
      <c r="AF27" s="95"/>
      <c r="AG27" s="95"/>
      <c r="AH27" s="95"/>
      <c r="AI27" s="95"/>
      <c r="AJ27" s="95"/>
      <c r="AK27" s="95"/>
      <c r="AL27" s="96"/>
      <c r="AM27" s="368" t="s">
        <v>41</v>
      </c>
      <c r="AN27" s="235"/>
      <c r="AO27" s="235"/>
      <c r="AP27" s="369"/>
      <c r="AQ27" s="363" t="s">
        <v>90</v>
      </c>
      <c r="AR27" s="364"/>
      <c r="AS27" s="364"/>
      <c r="AT27" s="365"/>
      <c r="BJ27" s="6"/>
    </row>
    <row r="28" spans="2:62" ht="21.6" customHeight="1">
      <c r="B28" s="181">
        <v>42813</v>
      </c>
      <c r="C28" s="182"/>
      <c r="D28" s="182"/>
      <c r="E28" s="183"/>
      <c r="F28" s="184" t="s">
        <v>162</v>
      </c>
      <c r="G28" s="185"/>
      <c r="H28" s="185"/>
      <c r="I28" s="185"/>
      <c r="J28" s="185"/>
      <c r="K28" s="185"/>
      <c r="L28" s="185"/>
      <c r="M28" s="185"/>
      <c r="N28" s="185"/>
      <c r="O28" s="185"/>
      <c r="P28" s="185"/>
      <c r="Q28" s="185"/>
      <c r="R28" s="185"/>
      <c r="S28" s="185"/>
      <c r="T28" s="185"/>
      <c r="U28" s="185"/>
      <c r="V28" s="185"/>
      <c r="W28" s="185"/>
      <c r="X28" s="185"/>
      <c r="Y28" s="185"/>
      <c r="Z28" s="185"/>
      <c r="AA28" s="185"/>
      <c r="AB28" s="185"/>
      <c r="AC28" s="185"/>
      <c r="AD28" s="185"/>
      <c r="AE28" s="185"/>
      <c r="AF28" s="185"/>
      <c r="AG28" s="185"/>
      <c r="AH28" s="185"/>
      <c r="AI28" s="185"/>
      <c r="AJ28" s="185"/>
      <c r="AK28" s="185"/>
      <c r="AL28" s="186"/>
      <c r="AM28" s="187">
        <v>1</v>
      </c>
      <c r="AN28" s="188"/>
      <c r="AO28" s="188"/>
      <c r="AP28" s="189"/>
      <c r="AQ28" s="158">
        <v>33.950000000000003</v>
      </c>
      <c r="AR28" s="159"/>
      <c r="AS28" s="159"/>
      <c r="AT28" s="160"/>
    </row>
    <row r="29" spans="2:62" s="22" customFormat="1" ht="21.6" customHeight="1">
      <c r="B29" s="431">
        <v>42813</v>
      </c>
      <c r="C29" s="182"/>
      <c r="D29" s="182"/>
      <c r="E29" s="183"/>
      <c r="F29" s="184" t="s">
        <v>163</v>
      </c>
      <c r="G29" s="185"/>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c r="AH29" s="185"/>
      <c r="AI29" s="185"/>
      <c r="AJ29" s="185"/>
      <c r="AK29" s="185"/>
      <c r="AL29" s="186"/>
      <c r="AM29" s="187">
        <v>2</v>
      </c>
      <c r="AN29" s="188"/>
      <c r="AO29" s="188"/>
      <c r="AP29" s="189"/>
      <c r="AQ29" s="158">
        <v>148</v>
      </c>
      <c r="AR29" s="159"/>
      <c r="AS29" s="159"/>
      <c r="AT29" s="160"/>
      <c r="BE29" s="62"/>
      <c r="BF29" s="62"/>
      <c r="BG29" s="62"/>
    </row>
    <row r="30" spans="2:62" s="22" customFormat="1" ht="21.6" customHeight="1">
      <c r="B30" s="181">
        <v>42813</v>
      </c>
      <c r="C30" s="182"/>
      <c r="D30" s="182"/>
      <c r="E30" s="183"/>
      <c r="F30" s="184" t="s">
        <v>164</v>
      </c>
      <c r="G30" s="185"/>
      <c r="H30" s="185"/>
      <c r="I30" s="185"/>
      <c r="J30" s="185"/>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c r="AH30" s="185"/>
      <c r="AI30" s="185"/>
      <c r="AJ30" s="185"/>
      <c r="AK30" s="185"/>
      <c r="AL30" s="186"/>
      <c r="AM30" s="187">
        <v>3</v>
      </c>
      <c r="AN30" s="188"/>
      <c r="AO30" s="188"/>
      <c r="AP30" s="189"/>
      <c r="AQ30" s="158">
        <v>15</v>
      </c>
      <c r="AR30" s="159"/>
      <c r="AS30" s="159"/>
      <c r="AT30" s="160"/>
      <c r="BE30" s="62"/>
      <c r="BF30" s="62"/>
      <c r="BG30" s="62"/>
    </row>
    <row r="31" spans="2:62" s="22" customFormat="1" ht="21.6" customHeight="1">
      <c r="B31" s="181"/>
      <c r="C31" s="182"/>
      <c r="D31" s="182"/>
      <c r="E31" s="183"/>
      <c r="F31" s="432"/>
      <c r="G31" s="432"/>
      <c r="H31" s="432"/>
      <c r="I31" s="432"/>
      <c r="J31" s="432"/>
      <c r="K31" s="432"/>
      <c r="L31" s="432"/>
      <c r="M31" s="432"/>
      <c r="N31" s="432"/>
      <c r="O31" s="432"/>
      <c r="P31" s="432"/>
      <c r="Q31" s="432"/>
      <c r="R31" s="432"/>
      <c r="S31" s="432"/>
      <c r="T31" s="432"/>
      <c r="U31" s="432"/>
      <c r="V31" s="432"/>
      <c r="W31" s="432"/>
      <c r="X31" s="432"/>
      <c r="Y31" s="432"/>
      <c r="Z31" s="432"/>
      <c r="AA31" s="432"/>
      <c r="AB31" s="432"/>
      <c r="AC31" s="432"/>
      <c r="AD31" s="432"/>
      <c r="AE31" s="432"/>
      <c r="AF31" s="432"/>
      <c r="AG31" s="432"/>
      <c r="AH31" s="432"/>
      <c r="AI31" s="432"/>
      <c r="AJ31" s="432"/>
      <c r="AK31" s="432"/>
      <c r="AL31" s="432"/>
      <c r="AM31" s="187">
        <v>4</v>
      </c>
      <c r="AN31" s="188"/>
      <c r="AO31" s="188"/>
      <c r="AP31" s="189"/>
      <c r="AQ31" s="158"/>
      <c r="AR31" s="159"/>
      <c r="AS31" s="159"/>
      <c r="AT31" s="160"/>
      <c r="BE31" s="62"/>
      <c r="BF31" s="62"/>
      <c r="BG31" s="62"/>
    </row>
    <row r="32" spans="2:62" s="22" customFormat="1" ht="21.6" customHeight="1">
      <c r="B32" s="181"/>
      <c r="C32" s="182"/>
      <c r="D32" s="182"/>
      <c r="E32" s="183"/>
      <c r="F32" s="184"/>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c r="AH32" s="185"/>
      <c r="AI32" s="185"/>
      <c r="AJ32" s="185"/>
      <c r="AK32" s="185"/>
      <c r="AL32" s="186"/>
      <c r="AM32" s="187">
        <v>5</v>
      </c>
      <c r="AN32" s="188"/>
      <c r="AO32" s="188"/>
      <c r="AP32" s="189"/>
      <c r="AQ32" s="158"/>
      <c r="AR32" s="159"/>
      <c r="AS32" s="159"/>
      <c r="AT32" s="160"/>
      <c r="BE32" s="62"/>
      <c r="BF32" s="62"/>
      <c r="BG32" s="62"/>
    </row>
    <row r="33" spans="2:60" s="22" customFormat="1" ht="21.6" customHeight="1">
      <c r="B33" s="181"/>
      <c r="C33" s="182"/>
      <c r="D33" s="182"/>
      <c r="E33" s="183"/>
      <c r="F33" s="184"/>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6"/>
      <c r="AM33" s="187">
        <v>6</v>
      </c>
      <c r="AN33" s="188"/>
      <c r="AO33" s="188"/>
      <c r="AP33" s="189"/>
      <c r="AQ33" s="158"/>
      <c r="AR33" s="159"/>
      <c r="AS33" s="159"/>
      <c r="AT33" s="160"/>
      <c r="BE33" s="62"/>
      <c r="BF33" s="62"/>
      <c r="BG33" s="62"/>
    </row>
    <row r="34" spans="2:60" s="22" customFormat="1" ht="21.6" customHeight="1">
      <c r="B34" s="181"/>
      <c r="C34" s="182"/>
      <c r="D34" s="182"/>
      <c r="E34" s="183"/>
      <c r="F34" s="184"/>
      <c r="G34" s="185"/>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c r="AH34" s="185"/>
      <c r="AI34" s="185"/>
      <c r="AJ34" s="185"/>
      <c r="AK34" s="185"/>
      <c r="AL34" s="186"/>
      <c r="AM34" s="187">
        <v>7</v>
      </c>
      <c r="AN34" s="188"/>
      <c r="AO34" s="188"/>
      <c r="AP34" s="189"/>
      <c r="AQ34" s="158"/>
      <c r="AR34" s="159"/>
      <c r="AS34" s="159"/>
      <c r="AT34" s="160"/>
      <c r="BE34" s="62"/>
      <c r="BF34" s="62"/>
      <c r="BG34" s="62"/>
    </row>
    <row r="35" spans="2:60" s="22" customFormat="1" ht="21.6" customHeight="1">
      <c r="B35" s="181"/>
      <c r="C35" s="182"/>
      <c r="D35" s="182"/>
      <c r="E35" s="183"/>
      <c r="F35" s="184"/>
      <c r="G35" s="185"/>
      <c r="H35" s="185"/>
      <c r="I35" s="185"/>
      <c r="J35" s="185"/>
      <c r="K35" s="185"/>
      <c r="L35" s="185"/>
      <c r="M35" s="185"/>
      <c r="N35" s="185"/>
      <c r="O35" s="185"/>
      <c r="P35" s="185"/>
      <c r="Q35" s="185"/>
      <c r="R35" s="185"/>
      <c r="S35" s="185"/>
      <c r="T35" s="185"/>
      <c r="U35" s="185"/>
      <c r="V35" s="185"/>
      <c r="W35" s="185"/>
      <c r="X35" s="185"/>
      <c r="Y35" s="185"/>
      <c r="Z35" s="185"/>
      <c r="AA35" s="185"/>
      <c r="AB35" s="185"/>
      <c r="AC35" s="185"/>
      <c r="AD35" s="185"/>
      <c r="AE35" s="185"/>
      <c r="AF35" s="185"/>
      <c r="AG35" s="185"/>
      <c r="AH35" s="185"/>
      <c r="AI35" s="185"/>
      <c r="AJ35" s="185"/>
      <c r="AK35" s="185"/>
      <c r="AL35" s="186"/>
      <c r="AM35" s="187">
        <v>8</v>
      </c>
      <c r="AN35" s="188"/>
      <c r="AO35" s="188"/>
      <c r="AP35" s="189"/>
      <c r="AQ35" s="158"/>
      <c r="AR35" s="159"/>
      <c r="AS35" s="159"/>
      <c r="AT35" s="160"/>
      <c r="BE35" s="62"/>
      <c r="BF35" s="62"/>
      <c r="BG35" s="62"/>
    </row>
    <row r="36" spans="2:60" s="22" customFormat="1" ht="21.6" customHeight="1">
      <c r="B36" s="181"/>
      <c r="C36" s="182"/>
      <c r="D36" s="182"/>
      <c r="E36" s="183"/>
      <c r="F36" s="184"/>
      <c r="G36" s="185"/>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c r="AH36" s="185"/>
      <c r="AI36" s="185"/>
      <c r="AJ36" s="185"/>
      <c r="AK36" s="185"/>
      <c r="AL36" s="186"/>
      <c r="AM36" s="187">
        <v>9</v>
      </c>
      <c r="AN36" s="188"/>
      <c r="AO36" s="188"/>
      <c r="AP36" s="189"/>
      <c r="AQ36" s="158"/>
      <c r="AR36" s="159"/>
      <c r="AS36" s="159"/>
      <c r="AT36" s="160"/>
      <c r="BE36" s="62"/>
      <c r="BF36" s="62"/>
      <c r="BG36" s="62"/>
    </row>
    <row r="37" spans="2:60" s="22" customFormat="1" ht="21.6" customHeight="1">
      <c r="B37" s="181"/>
      <c r="C37" s="182"/>
      <c r="D37" s="182"/>
      <c r="E37" s="183"/>
      <c r="F37" s="184"/>
      <c r="G37" s="185"/>
      <c r="H37" s="185"/>
      <c r="I37" s="185"/>
      <c r="J37" s="185"/>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c r="AH37" s="185"/>
      <c r="AI37" s="185"/>
      <c r="AJ37" s="185"/>
      <c r="AK37" s="185"/>
      <c r="AL37" s="186"/>
      <c r="AM37" s="187">
        <v>10</v>
      </c>
      <c r="AN37" s="188"/>
      <c r="AO37" s="188"/>
      <c r="AP37" s="189"/>
      <c r="AQ37" s="158"/>
      <c r="AR37" s="159"/>
      <c r="AS37" s="159"/>
      <c r="AT37" s="160"/>
      <c r="BE37" s="62"/>
      <c r="BF37" s="62"/>
      <c r="BG37" s="62"/>
    </row>
    <row r="38" spans="2:60" s="22" customFormat="1" ht="21.6" customHeight="1">
      <c r="B38" s="181"/>
      <c r="C38" s="182"/>
      <c r="D38" s="182"/>
      <c r="E38" s="183"/>
      <c r="F38" s="184"/>
      <c r="G38" s="185"/>
      <c r="H38" s="185"/>
      <c r="I38" s="185"/>
      <c r="J38" s="185"/>
      <c r="K38" s="185"/>
      <c r="L38" s="185"/>
      <c r="M38" s="185"/>
      <c r="N38" s="185"/>
      <c r="O38" s="185"/>
      <c r="P38" s="185"/>
      <c r="Q38" s="185"/>
      <c r="R38" s="185"/>
      <c r="S38" s="185"/>
      <c r="T38" s="185"/>
      <c r="U38" s="185"/>
      <c r="V38" s="185"/>
      <c r="W38" s="185"/>
      <c r="X38" s="185"/>
      <c r="Y38" s="185"/>
      <c r="Z38" s="185"/>
      <c r="AA38" s="185"/>
      <c r="AB38" s="185"/>
      <c r="AC38" s="185"/>
      <c r="AD38" s="185"/>
      <c r="AE38" s="185"/>
      <c r="AF38" s="185"/>
      <c r="AG38" s="185"/>
      <c r="AH38" s="185"/>
      <c r="AI38" s="185"/>
      <c r="AJ38" s="185"/>
      <c r="AK38" s="185"/>
      <c r="AL38" s="186"/>
      <c r="AM38" s="187">
        <v>11</v>
      </c>
      <c r="AN38" s="188"/>
      <c r="AO38" s="188"/>
      <c r="AP38" s="189"/>
      <c r="AQ38" s="158"/>
      <c r="AR38" s="159"/>
      <c r="AS38" s="159"/>
      <c r="AT38" s="160"/>
      <c r="BE38" s="62"/>
      <c r="BF38" s="62"/>
      <c r="BG38" s="62"/>
    </row>
    <row r="39" spans="2:60" s="22" customFormat="1" ht="21.6" customHeight="1">
      <c r="B39" s="181"/>
      <c r="C39" s="182"/>
      <c r="D39" s="182"/>
      <c r="E39" s="183"/>
      <c r="F39" s="184"/>
      <c r="G39" s="185"/>
      <c r="H39" s="185"/>
      <c r="I39" s="185"/>
      <c r="J39" s="185"/>
      <c r="K39" s="185"/>
      <c r="L39" s="185"/>
      <c r="M39" s="185"/>
      <c r="N39" s="185"/>
      <c r="O39" s="185"/>
      <c r="P39" s="185"/>
      <c r="Q39" s="185"/>
      <c r="R39" s="185"/>
      <c r="S39" s="185"/>
      <c r="T39" s="185"/>
      <c r="U39" s="185"/>
      <c r="V39" s="185"/>
      <c r="W39" s="185"/>
      <c r="X39" s="185"/>
      <c r="Y39" s="185"/>
      <c r="Z39" s="185"/>
      <c r="AA39" s="185"/>
      <c r="AB39" s="185"/>
      <c r="AC39" s="185"/>
      <c r="AD39" s="185"/>
      <c r="AE39" s="185"/>
      <c r="AF39" s="185"/>
      <c r="AG39" s="185"/>
      <c r="AH39" s="185"/>
      <c r="AI39" s="185"/>
      <c r="AJ39" s="185"/>
      <c r="AK39" s="185"/>
      <c r="AL39" s="186"/>
      <c r="AM39" s="187">
        <v>12</v>
      </c>
      <c r="AN39" s="188"/>
      <c r="AO39" s="188"/>
      <c r="AP39" s="189"/>
      <c r="AQ39" s="158"/>
      <c r="AR39" s="159"/>
      <c r="AS39" s="159"/>
      <c r="AT39" s="160"/>
      <c r="BE39" s="62"/>
      <c r="BF39" s="62"/>
      <c r="BG39" s="62"/>
    </row>
    <row r="40" spans="2:60" ht="21.6" customHeight="1">
      <c r="B40" s="181"/>
      <c r="C40" s="182"/>
      <c r="D40" s="182"/>
      <c r="E40" s="182"/>
      <c r="F40" s="184"/>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6"/>
      <c r="AM40" s="187">
        <v>13</v>
      </c>
      <c r="AN40" s="188"/>
      <c r="AO40" s="188"/>
      <c r="AP40" s="189"/>
      <c r="AQ40" s="158"/>
      <c r="AR40" s="159"/>
      <c r="AS40" s="159"/>
      <c r="AT40" s="160"/>
    </row>
    <row r="41" spans="2:60" ht="21.6" customHeight="1">
      <c r="B41" s="181"/>
      <c r="C41" s="182"/>
      <c r="D41" s="182"/>
      <c r="E41" s="182"/>
      <c r="F41" s="184"/>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6"/>
      <c r="AM41" s="187">
        <v>14</v>
      </c>
      <c r="AN41" s="188"/>
      <c r="AO41" s="188"/>
      <c r="AP41" s="189"/>
      <c r="AQ41" s="158"/>
      <c r="AR41" s="159"/>
      <c r="AS41" s="159"/>
      <c r="AT41" s="160"/>
    </row>
    <row r="42" spans="2:60" ht="21.6" customHeight="1" thickBot="1">
      <c r="B42" s="181"/>
      <c r="C42" s="182"/>
      <c r="D42" s="182"/>
      <c r="E42" s="182"/>
      <c r="F42" s="184"/>
      <c r="G42" s="185"/>
      <c r="H42" s="185"/>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376"/>
      <c r="AJ42" s="376"/>
      <c r="AK42" s="185"/>
      <c r="AL42" s="186"/>
      <c r="AM42" s="187">
        <v>15</v>
      </c>
      <c r="AN42" s="188"/>
      <c r="AO42" s="188"/>
      <c r="AP42" s="189"/>
      <c r="AQ42" s="158"/>
      <c r="AR42" s="159"/>
      <c r="AS42" s="159"/>
      <c r="AT42" s="160"/>
    </row>
    <row r="43" spans="2:60" ht="21.6" customHeight="1" thickBot="1">
      <c r="B43" s="394" t="s">
        <v>139</v>
      </c>
      <c r="C43" s="395"/>
      <c r="D43" s="395"/>
      <c r="E43" s="395"/>
      <c r="F43" s="395"/>
      <c r="G43" s="395"/>
      <c r="H43" s="395"/>
      <c r="I43" s="395"/>
      <c r="J43" s="395"/>
      <c r="K43" s="395"/>
      <c r="L43" s="395"/>
      <c r="M43" s="395"/>
      <c r="N43" s="395"/>
      <c r="O43" s="395"/>
      <c r="P43" s="395"/>
      <c r="Q43" s="395"/>
      <c r="R43" s="395"/>
      <c r="S43" s="395"/>
      <c r="T43" s="395"/>
      <c r="U43" s="395"/>
      <c r="V43" s="395"/>
      <c r="W43" s="395"/>
      <c r="X43" s="395"/>
      <c r="Y43" s="395"/>
      <c r="Z43" s="395"/>
      <c r="AA43" s="395"/>
      <c r="AB43" s="395"/>
      <c r="AC43" s="395"/>
      <c r="AD43" s="395"/>
      <c r="AE43" s="395"/>
      <c r="AF43" s="395"/>
      <c r="AG43" s="395"/>
      <c r="AH43" s="395"/>
      <c r="AI43" s="115"/>
      <c r="AJ43" s="116"/>
      <c r="AK43" s="113"/>
      <c r="AL43" s="113"/>
      <c r="AM43" s="113"/>
      <c r="AN43" s="113"/>
      <c r="AO43" s="113"/>
      <c r="AP43" s="114" t="s">
        <v>42</v>
      </c>
      <c r="AQ43" s="402">
        <f>SUM(AQ28:AT42)</f>
        <v>196.95</v>
      </c>
      <c r="AR43" s="403"/>
      <c r="AS43" s="403"/>
      <c r="AT43" s="403"/>
    </row>
    <row r="44" spans="2:60" ht="21.6" customHeight="1" thickBot="1">
      <c r="B44" s="404"/>
      <c r="C44" s="405"/>
      <c r="D44" s="405"/>
      <c r="E44" s="405"/>
      <c r="F44" s="405"/>
      <c r="G44" s="405"/>
      <c r="H44" s="405"/>
      <c r="I44" s="405"/>
      <c r="J44" s="405"/>
      <c r="K44" s="405"/>
      <c r="L44" s="405"/>
      <c r="M44" s="405"/>
      <c r="N44" s="405"/>
      <c r="O44" s="405"/>
      <c r="P44" s="405"/>
      <c r="Q44" s="405"/>
      <c r="R44" s="405"/>
      <c r="S44" s="405"/>
      <c r="T44" s="405"/>
      <c r="U44" s="405"/>
      <c r="V44" s="405"/>
      <c r="W44" s="392"/>
      <c r="X44" s="392"/>
      <c r="Y44" s="392"/>
      <c r="Z44" s="392"/>
      <c r="AA44" s="392"/>
      <c r="AB44" s="392"/>
      <c r="AC44" s="392"/>
      <c r="AD44" s="392"/>
      <c r="AE44" s="392"/>
      <c r="AF44" s="392"/>
      <c r="AG44" s="392"/>
      <c r="AH44" s="392"/>
      <c r="AI44" s="392" t="s">
        <v>44</v>
      </c>
      <c r="AJ44" s="392"/>
      <c r="AK44" s="392"/>
      <c r="AL44" s="392"/>
      <c r="AM44" s="392"/>
      <c r="AN44" s="392"/>
      <c r="AO44" s="392"/>
      <c r="AP44" s="396"/>
      <c r="AQ44" s="406">
        <f>AQ24+AQ43</f>
        <v>196.95</v>
      </c>
      <c r="AR44" s="384"/>
      <c r="AS44" s="384"/>
      <c r="AT44" s="385"/>
    </row>
    <row r="45" spans="2:60" ht="21.6" customHeight="1" thickBot="1">
      <c r="B45" s="391" t="s">
        <v>46</v>
      </c>
      <c r="C45" s="392"/>
      <c r="D45" s="392"/>
      <c r="E45" s="392"/>
      <c r="F45" s="392"/>
      <c r="G45" s="392"/>
      <c r="H45" s="392"/>
      <c r="I45" s="392"/>
      <c r="J45" s="392"/>
      <c r="K45" s="392"/>
      <c r="L45" s="392"/>
      <c r="M45" s="392"/>
      <c r="N45" s="392"/>
      <c r="O45" s="392"/>
      <c r="P45" s="392"/>
      <c r="Q45" s="392"/>
      <c r="R45" s="392"/>
      <c r="S45" s="392"/>
      <c r="T45" s="392"/>
      <c r="U45" s="392"/>
      <c r="V45" s="392"/>
      <c r="W45" s="392"/>
      <c r="X45" s="392"/>
      <c r="Y45" s="392"/>
      <c r="Z45" s="392"/>
      <c r="AA45" s="392"/>
      <c r="AB45" s="392"/>
      <c r="AC45" s="390"/>
      <c r="AD45" s="390"/>
      <c r="AE45" s="390"/>
      <c r="AF45" s="390"/>
      <c r="AG45" s="359" t="s">
        <v>45</v>
      </c>
      <c r="AH45" s="359"/>
      <c r="AI45" s="359"/>
      <c r="AJ45" s="359"/>
      <c r="AK45" s="359"/>
      <c r="AL45" s="359"/>
      <c r="AM45" s="388"/>
      <c r="AN45" s="388"/>
      <c r="AO45" s="388"/>
      <c r="AP45" s="389"/>
      <c r="AQ45" s="383">
        <f>AC45</f>
        <v>0</v>
      </c>
      <c r="AR45" s="384"/>
      <c r="AS45" s="384"/>
      <c r="AT45" s="385"/>
    </row>
    <row r="46" spans="2:60" ht="21.6" customHeight="1" thickBot="1">
      <c r="B46" s="297" t="str">
        <f>IF(AQ44&gt;AQ45,"Please reimburse me",IF(AQ45&gt;AQ44,"I enclose a cheque made out to The University of Reading for","Amount to be paid by BACS transfer"))</f>
        <v>Please reimburse me</v>
      </c>
      <c r="C46" s="298"/>
      <c r="D46" s="298"/>
      <c r="E46" s="298"/>
      <c r="F46" s="298"/>
      <c r="G46" s="298"/>
      <c r="H46" s="298"/>
      <c r="I46" s="298"/>
      <c r="J46" s="298"/>
      <c r="K46" s="298"/>
      <c r="L46" s="298"/>
      <c r="M46" s="298"/>
      <c r="N46" s="298"/>
      <c r="O46" s="298"/>
      <c r="P46" s="298"/>
      <c r="Q46" s="298"/>
      <c r="R46" s="298"/>
      <c r="S46" s="298"/>
      <c r="T46" s="298"/>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386">
        <f>IF(AQ45&gt;AQ44,AQ45-AQ44,AQ44-AQ45)</f>
        <v>196.95</v>
      </c>
      <c r="AR46" s="386"/>
      <c r="AS46" s="386"/>
      <c r="AT46" s="387"/>
      <c r="BD46" s="19"/>
      <c r="BE46" s="16"/>
      <c r="BF46" s="16"/>
      <c r="BG46" s="16"/>
      <c r="BH46" s="16"/>
    </row>
    <row r="47" spans="2:60" ht="6.75" customHeight="1" thickTop="1">
      <c r="B47" s="77"/>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80"/>
      <c r="AR47" s="78"/>
      <c r="AS47" s="78"/>
      <c r="AT47" s="81"/>
      <c r="BD47" s="19"/>
      <c r="BE47" s="16"/>
      <c r="BF47" s="16"/>
      <c r="BG47" s="16"/>
      <c r="BH47" s="16"/>
    </row>
    <row r="48" spans="2:60" ht="21.6" customHeight="1">
      <c r="B48" s="73"/>
      <c r="C48" s="71"/>
      <c r="D48" s="71"/>
      <c r="E48" s="382" t="s">
        <v>52</v>
      </c>
      <c r="F48" s="382"/>
      <c r="G48" s="382"/>
      <c r="H48" s="382"/>
      <c r="I48" s="79"/>
      <c r="J48" s="382" t="s">
        <v>51</v>
      </c>
      <c r="K48" s="382"/>
      <c r="L48" s="382"/>
      <c r="M48" s="382"/>
      <c r="N48" s="382"/>
      <c r="O48" s="382"/>
      <c r="P48" s="382"/>
      <c r="Q48" s="79"/>
      <c r="R48" s="382" t="s">
        <v>50</v>
      </c>
      <c r="S48" s="382"/>
      <c r="T48" s="382"/>
      <c r="U48" s="382"/>
      <c r="V48" s="382"/>
      <c r="W48" s="382"/>
      <c r="X48" s="382"/>
      <c r="Y48" s="382"/>
      <c r="Z48" s="382"/>
      <c r="AA48" s="79"/>
      <c r="AB48" s="382" t="s">
        <v>84</v>
      </c>
      <c r="AC48" s="382"/>
      <c r="AD48" s="382"/>
      <c r="AE48" s="382"/>
      <c r="AF48" s="79"/>
      <c r="AG48" s="382" t="s">
        <v>49</v>
      </c>
      <c r="AH48" s="382"/>
      <c r="AI48" s="382"/>
      <c r="AJ48" s="382"/>
      <c r="AK48" s="79"/>
      <c r="AL48" s="382" t="s">
        <v>48</v>
      </c>
      <c r="AM48" s="382"/>
      <c r="AN48" s="382"/>
      <c r="AO48" s="382"/>
      <c r="AP48" s="79"/>
      <c r="AQ48" s="400" t="s">
        <v>47</v>
      </c>
      <c r="AR48" s="400"/>
      <c r="AS48" s="400"/>
      <c r="AT48" s="401"/>
    </row>
    <row r="49" spans="2:59" ht="21.6" customHeight="1">
      <c r="B49" s="82"/>
      <c r="C49" s="83"/>
      <c r="D49" s="83"/>
      <c r="E49" s="291"/>
      <c r="F49" s="292"/>
      <c r="G49" s="292"/>
      <c r="H49" s="293"/>
      <c r="I49" s="71"/>
      <c r="J49" s="294"/>
      <c r="K49" s="295"/>
      <c r="L49" s="295"/>
      <c r="M49" s="295"/>
      <c r="N49" s="295"/>
      <c r="O49" s="295"/>
      <c r="P49" s="296"/>
      <c r="Q49" s="84"/>
      <c r="R49" s="373"/>
      <c r="S49" s="374"/>
      <c r="T49" s="374"/>
      <c r="U49" s="374"/>
      <c r="V49" s="374"/>
      <c r="W49" s="374"/>
      <c r="X49" s="374"/>
      <c r="Y49" s="374"/>
      <c r="Z49" s="375"/>
      <c r="AA49" s="84"/>
      <c r="AB49" s="302"/>
      <c r="AC49" s="303"/>
      <c r="AD49" s="303"/>
      <c r="AE49" s="304"/>
      <c r="AF49" s="84"/>
      <c r="AG49" s="302"/>
      <c r="AH49" s="303"/>
      <c r="AI49" s="303"/>
      <c r="AJ49" s="304"/>
      <c r="AK49" s="84"/>
      <c r="AL49" s="302"/>
      <c r="AM49" s="303"/>
      <c r="AN49" s="303"/>
      <c r="AO49" s="304"/>
      <c r="AP49" s="84"/>
      <c r="AQ49" s="299">
        <f t="shared" ref="AQ49:AQ55" si="2">AG49+AL49</f>
        <v>0</v>
      </c>
      <c r="AR49" s="300"/>
      <c r="AS49" s="300"/>
      <c r="AT49" s="301"/>
    </row>
    <row r="50" spans="2:59" ht="21.6" customHeight="1">
      <c r="B50" s="82"/>
      <c r="C50" s="83"/>
      <c r="D50" s="83"/>
      <c r="E50" s="291"/>
      <c r="F50" s="292"/>
      <c r="G50" s="292"/>
      <c r="H50" s="293"/>
      <c r="I50" s="71"/>
      <c r="J50" s="294"/>
      <c r="K50" s="295"/>
      <c r="L50" s="295"/>
      <c r="M50" s="295"/>
      <c r="N50" s="295"/>
      <c r="O50" s="295"/>
      <c r="P50" s="296"/>
      <c r="Q50" s="84"/>
      <c r="R50" s="373"/>
      <c r="S50" s="374"/>
      <c r="T50" s="374"/>
      <c r="U50" s="374"/>
      <c r="V50" s="374"/>
      <c r="W50" s="374"/>
      <c r="X50" s="374"/>
      <c r="Y50" s="374"/>
      <c r="Z50" s="375"/>
      <c r="AA50" s="84"/>
      <c r="AB50" s="302"/>
      <c r="AC50" s="303"/>
      <c r="AD50" s="303"/>
      <c r="AE50" s="304"/>
      <c r="AF50" s="84"/>
      <c r="AG50" s="302"/>
      <c r="AH50" s="303"/>
      <c r="AI50" s="303"/>
      <c r="AJ50" s="304"/>
      <c r="AK50" s="84"/>
      <c r="AL50" s="302"/>
      <c r="AM50" s="303"/>
      <c r="AN50" s="303"/>
      <c r="AO50" s="304"/>
      <c r="AP50" s="84"/>
      <c r="AQ50" s="299">
        <f t="shared" si="2"/>
        <v>0</v>
      </c>
      <c r="AR50" s="300"/>
      <c r="AS50" s="300"/>
      <c r="AT50" s="301"/>
    </row>
    <row r="51" spans="2:59" ht="21.6" customHeight="1">
      <c r="B51" s="82"/>
      <c r="C51" s="83"/>
      <c r="D51" s="83"/>
      <c r="E51" s="291"/>
      <c r="F51" s="292"/>
      <c r="G51" s="292"/>
      <c r="H51" s="293"/>
      <c r="I51" s="71"/>
      <c r="J51" s="294"/>
      <c r="K51" s="295"/>
      <c r="L51" s="295"/>
      <c r="M51" s="295"/>
      <c r="N51" s="295"/>
      <c r="O51" s="295"/>
      <c r="P51" s="296"/>
      <c r="Q51" s="84"/>
      <c r="R51" s="373"/>
      <c r="S51" s="374"/>
      <c r="T51" s="374"/>
      <c r="U51" s="374"/>
      <c r="V51" s="374"/>
      <c r="W51" s="374"/>
      <c r="X51" s="374"/>
      <c r="Y51" s="374"/>
      <c r="Z51" s="375"/>
      <c r="AA51" s="84"/>
      <c r="AB51" s="302"/>
      <c r="AC51" s="303"/>
      <c r="AD51" s="303"/>
      <c r="AE51" s="304"/>
      <c r="AF51" s="84"/>
      <c r="AG51" s="302"/>
      <c r="AH51" s="303"/>
      <c r="AI51" s="303"/>
      <c r="AJ51" s="304"/>
      <c r="AK51" s="84"/>
      <c r="AL51" s="302"/>
      <c r="AM51" s="303"/>
      <c r="AN51" s="303"/>
      <c r="AO51" s="304"/>
      <c r="AP51" s="84"/>
      <c r="AQ51" s="299">
        <f t="shared" si="2"/>
        <v>0</v>
      </c>
      <c r="AR51" s="300"/>
      <c r="AS51" s="300"/>
      <c r="AT51" s="301"/>
    </row>
    <row r="52" spans="2:59" s="22" customFormat="1" ht="21.6" customHeight="1">
      <c r="B52" s="82"/>
      <c r="C52" s="83"/>
      <c r="D52" s="83"/>
      <c r="E52" s="291"/>
      <c r="F52" s="292"/>
      <c r="G52" s="292"/>
      <c r="H52" s="293"/>
      <c r="I52" s="71"/>
      <c r="J52" s="294"/>
      <c r="K52" s="295"/>
      <c r="L52" s="295"/>
      <c r="M52" s="295"/>
      <c r="N52" s="295"/>
      <c r="O52" s="295"/>
      <c r="P52" s="296"/>
      <c r="Q52" s="84"/>
      <c r="R52" s="373"/>
      <c r="S52" s="374"/>
      <c r="T52" s="374"/>
      <c r="U52" s="374"/>
      <c r="V52" s="374"/>
      <c r="W52" s="374"/>
      <c r="X52" s="374"/>
      <c r="Y52" s="374"/>
      <c r="Z52" s="375"/>
      <c r="AA52" s="84"/>
      <c r="AB52" s="302"/>
      <c r="AC52" s="303"/>
      <c r="AD52" s="303"/>
      <c r="AE52" s="304"/>
      <c r="AF52" s="84"/>
      <c r="AG52" s="302"/>
      <c r="AH52" s="303"/>
      <c r="AI52" s="303"/>
      <c r="AJ52" s="304"/>
      <c r="AK52" s="84"/>
      <c r="AL52" s="302"/>
      <c r="AM52" s="303"/>
      <c r="AN52" s="303"/>
      <c r="AO52" s="304"/>
      <c r="AP52" s="84"/>
      <c r="AQ52" s="299">
        <f t="shared" si="2"/>
        <v>0</v>
      </c>
      <c r="AR52" s="300"/>
      <c r="AS52" s="300"/>
      <c r="AT52" s="301"/>
      <c r="BE52" s="62"/>
      <c r="BF52" s="62"/>
      <c r="BG52" s="62"/>
    </row>
    <row r="53" spans="2:59" ht="21.6" customHeight="1">
      <c r="B53" s="82"/>
      <c r="C53" s="83"/>
      <c r="D53" s="83"/>
      <c r="E53" s="291"/>
      <c r="F53" s="292"/>
      <c r="G53" s="292"/>
      <c r="H53" s="293"/>
      <c r="I53" s="71"/>
      <c r="J53" s="294"/>
      <c r="K53" s="295"/>
      <c r="L53" s="295"/>
      <c r="M53" s="295"/>
      <c r="N53" s="295"/>
      <c r="O53" s="295"/>
      <c r="P53" s="296"/>
      <c r="Q53" s="84"/>
      <c r="R53" s="373"/>
      <c r="S53" s="374"/>
      <c r="T53" s="374"/>
      <c r="U53" s="374"/>
      <c r="V53" s="374"/>
      <c r="W53" s="374"/>
      <c r="X53" s="374"/>
      <c r="Y53" s="374"/>
      <c r="Z53" s="375"/>
      <c r="AA53" s="84"/>
      <c r="AB53" s="302"/>
      <c r="AC53" s="303"/>
      <c r="AD53" s="303"/>
      <c r="AE53" s="304"/>
      <c r="AF53" s="84"/>
      <c r="AG53" s="302"/>
      <c r="AH53" s="303"/>
      <c r="AI53" s="303"/>
      <c r="AJ53" s="304"/>
      <c r="AK53" s="84"/>
      <c r="AL53" s="302"/>
      <c r="AM53" s="303"/>
      <c r="AN53" s="303"/>
      <c r="AO53" s="304"/>
      <c r="AP53" s="84"/>
      <c r="AQ53" s="299">
        <f t="shared" si="2"/>
        <v>0</v>
      </c>
      <c r="AR53" s="300"/>
      <c r="AS53" s="300"/>
      <c r="AT53" s="301"/>
    </row>
    <row r="54" spans="2:59" ht="21.6" customHeight="1">
      <c r="B54" s="82"/>
      <c r="C54" s="83"/>
      <c r="D54" s="83"/>
      <c r="E54" s="291"/>
      <c r="F54" s="292"/>
      <c r="G54" s="292"/>
      <c r="H54" s="293"/>
      <c r="I54" s="71"/>
      <c r="J54" s="294"/>
      <c r="K54" s="295"/>
      <c r="L54" s="295"/>
      <c r="M54" s="295"/>
      <c r="N54" s="295"/>
      <c r="O54" s="295"/>
      <c r="P54" s="296"/>
      <c r="Q54" s="84"/>
      <c r="R54" s="373"/>
      <c r="S54" s="374"/>
      <c r="T54" s="374"/>
      <c r="U54" s="374"/>
      <c r="V54" s="374"/>
      <c r="W54" s="374"/>
      <c r="X54" s="374"/>
      <c r="Y54" s="374"/>
      <c r="Z54" s="375"/>
      <c r="AA54" s="84"/>
      <c r="AB54" s="302"/>
      <c r="AC54" s="303"/>
      <c r="AD54" s="303"/>
      <c r="AE54" s="304"/>
      <c r="AF54" s="84"/>
      <c r="AG54" s="302"/>
      <c r="AH54" s="303"/>
      <c r="AI54" s="303"/>
      <c r="AJ54" s="304"/>
      <c r="AK54" s="84"/>
      <c r="AL54" s="302"/>
      <c r="AM54" s="303"/>
      <c r="AN54" s="303"/>
      <c r="AO54" s="304"/>
      <c r="AP54" s="84"/>
      <c r="AQ54" s="299">
        <f t="shared" si="2"/>
        <v>0</v>
      </c>
      <c r="AR54" s="300"/>
      <c r="AS54" s="300"/>
      <c r="AT54" s="301"/>
    </row>
    <row r="55" spans="2:59" ht="21.6" customHeight="1">
      <c r="B55" s="82"/>
      <c r="C55" s="83"/>
      <c r="D55" s="83"/>
      <c r="E55" s="291"/>
      <c r="F55" s="292"/>
      <c r="G55" s="292"/>
      <c r="H55" s="293"/>
      <c r="I55" s="71"/>
      <c r="J55" s="294"/>
      <c r="K55" s="295"/>
      <c r="L55" s="295"/>
      <c r="M55" s="295"/>
      <c r="N55" s="295"/>
      <c r="O55" s="295"/>
      <c r="P55" s="296"/>
      <c r="Q55" s="84"/>
      <c r="R55" s="373"/>
      <c r="S55" s="374"/>
      <c r="T55" s="374"/>
      <c r="U55" s="374"/>
      <c r="V55" s="374"/>
      <c r="W55" s="374"/>
      <c r="X55" s="374"/>
      <c r="Y55" s="374"/>
      <c r="Z55" s="375"/>
      <c r="AA55" s="84"/>
      <c r="AB55" s="302"/>
      <c r="AC55" s="303"/>
      <c r="AD55" s="303"/>
      <c r="AE55" s="304"/>
      <c r="AF55" s="84"/>
      <c r="AG55" s="302"/>
      <c r="AH55" s="303"/>
      <c r="AI55" s="303"/>
      <c r="AJ55" s="304"/>
      <c r="AK55" s="84"/>
      <c r="AL55" s="302"/>
      <c r="AM55" s="303"/>
      <c r="AN55" s="303"/>
      <c r="AO55" s="304"/>
      <c r="AP55" s="84"/>
      <c r="AQ55" s="299">
        <f t="shared" si="2"/>
        <v>0</v>
      </c>
      <c r="AR55" s="300"/>
      <c r="AS55" s="300"/>
      <c r="AT55" s="301"/>
    </row>
    <row r="56" spans="2:59" ht="5.0999999999999996" customHeight="1">
      <c r="B56" s="418"/>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1"/>
      <c r="AJ56" s="271"/>
      <c r="AK56" s="271"/>
      <c r="AL56" s="271"/>
      <c r="AM56" s="271"/>
      <c r="AN56" s="271"/>
      <c r="AO56" s="271"/>
      <c r="AP56" s="271"/>
      <c r="AQ56" s="271"/>
      <c r="AR56" s="271"/>
      <c r="AS56" s="271"/>
      <c r="AT56" s="272"/>
    </row>
    <row r="57" spans="2:59" ht="21.6" customHeight="1" thickBot="1">
      <c r="B57" s="85"/>
      <c r="C57" s="86"/>
      <c r="D57" s="86"/>
      <c r="E57" s="86"/>
      <c r="F57" s="86"/>
      <c r="G57" s="86"/>
      <c r="H57" s="86"/>
      <c r="I57" s="86"/>
      <c r="J57" s="86"/>
      <c r="K57" s="86"/>
      <c r="L57" s="86"/>
      <c r="M57" s="86"/>
      <c r="N57" s="86"/>
      <c r="O57" s="86"/>
      <c r="P57" s="86"/>
      <c r="Q57" s="86"/>
      <c r="R57" s="86"/>
      <c r="S57" s="86"/>
      <c r="T57" s="86"/>
      <c r="U57" s="86"/>
      <c r="V57" s="87"/>
      <c r="W57" s="86"/>
      <c r="X57" s="86"/>
      <c r="Y57" s="86"/>
      <c r="Z57" s="86"/>
      <c r="AA57" s="86"/>
      <c r="AB57" s="417" t="str">
        <f>IF(AQ44=AQ57," ","Please complete the accounting analysis")</f>
        <v>Please complete the accounting analysis</v>
      </c>
      <c r="AC57" s="417"/>
      <c r="AD57" s="417"/>
      <c r="AE57" s="417"/>
      <c r="AF57" s="417"/>
      <c r="AG57" s="417"/>
      <c r="AH57" s="417"/>
      <c r="AI57" s="417"/>
      <c r="AJ57" s="417"/>
      <c r="AK57" s="417"/>
      <c r="AL57" s="417"/>
      <c r="AM57" s="417"/>
      <c r="AN57" s="417"/>
      <c r="AO57" s="417"/>
      <c r="AP57" s="417"/>
      <c r="AQ57" s="415">
        <f>SUM(AQ49:AT55)</f>
        <v>0</v>
      </c>
      <c r="AR57" s="415"/>
      <c r="AS57" s="415"/>
      <c r="AT57" s="416"/>
    </row>
    <row r="58" spans="2:59" ht="12.75" customHeight="1" thickTop="1">
      <c r="B58" s="88" t="s">
        <v>56</v>
      </c>
      <c r="C58" s="89"/>
      <c r="D58" s="89"/>
      <c r="E58" s="89"/>
      <c r="F58" s="89"/>
      <c r="G58" s="89"/>
      <c r="H58" s="90"/>
      <c r="I58" s="90"/>
      <c r="J58" s="90"/>
      <c r="K58" s="90"/>
      <c r="L58" s="90"/>
      <c r="M58" s="421"/>
      <c r="N58" s="421"/>
      <c r="O58" s="421"/>
      <c r="P58" s="422"/>
      <c r="Q58" s="422"/>
      <c r="R58" s="90"/>
      <c r="S58" s="90"/>
      <c r="T58" s="90"/>
      <c r="U58" s="90"/>
      <c r="V58" s="90"/>
      <c r="W58" s="90"/>
      <c r="X58" s="90"/>
      <c r="Y58" s="90"/>
      <c r="Z58" s="90"/>
      <c r="AA58" s="91" t="s">
        <v>55</v>
      </c>
      <c r="AB58" s="90"/>
      <c r="AC58" s="90"/>
      <c r="AD58" s="90"/>
      <c r="AE58" s="90"/>
      <c r="AF58" s="90"/>
      <c r="AG58" s="90"/>
      <c r="AH58" s="90"/>
      <c r="AI58" s="90"/>
      <c r="AJ58" s="90"/>
      <c r="AK58" s="90"/>
      <c r="AL58" s="90"/>
      <c r="AM58" s="90"/>
      <c r="AN58" s="90"/>
      <c r="AO58" s="90"/>
      <c r="AP58" s="90"/>
      <c r="AQ58" s="90"/>
      <c r="AR58" s="90"/>
      <c r="AS58" s="87"/>
      <c r="AT58" s="92"/>
    </row>
    <row r="59" spans="2:59" ht="21.6" customHeight="1">
      <c r="B59" s="409" t="s">
        <v>105</v>
      </c>
      <c r="C59" s="410"/>
      <c r="D59" s="410"/>
      <c r="E59" s="410"/>
      <c r="F59" s="410"/>
      <c r="G59" s="410"/>
      <c r="H59" s="410"/>
      <c r="I59" s="410"/>
      <c r="J59" s="410"/>
      <c r="K59" s="410"/>
      <c r="L59" s="410"/>
      <c r="M59" s="410"/>
      <c r="N59" s="410"/>
      <c r="O59" s="410"/>
      <c r="P59" s="410"/>
      <c r="Q59" s="410"/>
      <c r="R59" s="410"/>
      <c r="S59" s="410"/>
      <c r="T59" s="410"/>
      <c r="U59" s="410"/>
      <c r="V59" s="410"/>
      <c r="W59" s="410"/>
      <c r="X59" s="410"/>
      <c r="Y59" s="410"/>
      <c r="Z59" s="93"/>
      <c r="AA59" s="410" t="s">
        <v>104</v>
      </c>
      <c r="AB59" s="410"/>
      <c r="AC59" s="410"/>
      <c r="AD59" s="410"/>
      <c r="AE59" s="410"/>
      <c r="AF59" s="410"/>
      <c r="AG59" s="410"/>
      <c r="AH59" s="410"/>
      <c r="AI59" s="410"/>
      <c r="AJ59" s="410"/>
      <c r="AK59" s="410"/>
      <c r="AL59" s="410"/>
      <c r="AM59" s="410"/>
      <c r="AN59" s="410"/>
      <c r="AO59" s="410"/>
      <c r="AP59" s="410"/>
      <c r="AQ59" s="410"/>
      <c r="AR59" s="410"/>
      <c r="AS59" s="410"/>
      <c r="AT59" s="423"/>
    </row>
    <row r="60" spans="2:59" ht="21.6" customHeight="1">
      <c r="B60" s="409"/>
      <c r="C60" s="410"/>
      <c r="D60" s="410"/>
      <c r="E60" s="410"/>
      <c r="F60" s="410"/>
      <c r="G60" s="410"/>
      <c r="H60" s="410"/>
      <c r="I60" s="410"/>
      <c r="J60" s="410"/>
      <c r="K60" s="410"/>
      <c r="L60" s="410"/>
      <c r="M60" s="410"/>
      <c r="N60" s="410"/>
      <c r="O60" s="410"/>
      <c r="P60" s="410"/>
      <c r="Q60" s="410"/>
      <c r="R60" s="410"/>
      <c r="S60" s="410"/>
      <c r="T60" s="410"/>
      <c r="U60" s="410"/>
      <c r="V60" s="410"/>
      <c r="W60" s="410"/>
      <c r="X60" s="410"/>
      <c r="Y60" s="410"/>
      <c r="Z60" s="93"/>
      <c r="AA60" s="410"/>
      <c r="AB60" s="410"/>
      <c r="AC60" s="410"/>
      <c r="AD60" s="410"/>
      <c r="AE60" s="410"/>
      <c r="AF60" s="410"/>
      <c r="AG60" s="410"/>
      <c r="AH60" s="410"/>
      <c r="AI60" s="410"/>
      <c r="AJ60" s="410"/>
      <c r="AK60" s="410"/>
      <c r="AL60" s="410"/>
      <c r="AM60" s="410"/>
      <c r="AN60" s="410"/>
      <c r="AO60" s="410"/>
      <c r="AP60" s="410"/>
      <c r="AQ60" s="410"/>
      <c r="AR60" s="410"/>
      <c r="AS60" s="410"/>
      <c r="AT60" s="423"/>
    </row>
    <row r="61" spans="2:59" ht="21.6" customHeight="1">
      <c r="B61" s="409"/>
      <c r="C61" s="410"/>
      <c r="D61" s="410"/>
      <c r="E61" s="410"/>
      <c r="F61" s="410"/>
      <c r="G61" s="410"/>
      <c r="H61" s="410"/>
      <c r="I61" s="410"/>
      <c r="J61" s="410"/>
      <c r="K61" s="410"/>
      <c r="L61" s="410"/>
      <c r="M61" s="410"/>
      <c r="N61" s="410"/>
      <c r="O61" s="410"/>
      <c r="P61" s="410"/>
      <c r="Q61" s="410"/>
      <c r="R61" s="410"/>
      <c r="S61" s="410"/>
      <c r="T61" s="410"/>
      <c r="U61" s="410"/>
      <c r="V61" s="410"/>
      <c r="W61" s="410"/>
      <c r="X61" s="410"/>
      <c r="Y61" s="410"/>
      <c r="Z61" s="93"/>
      <c r="AA61" s="410"/>
      <c r="AB61" s="410"/>
      <c r="AC61" s="410"/>
      <c r="AD61" s="410"/>
      <c r="AE61" s="410"/>
      <c r="AF61" s="410"/>
      <c r="AG61" s="410"/>
      <c r="AH61" s="410"/>
      <c r="AI61" s="410"/>
      <c r="AJ61" s="410"/>
      <c r="AK61" s="410"/>
      <c r="AL61" s="410"/>
      <c r="AM61" s="410"/>
      <c r="AN61" s="410"/>
      <c r="AO61" s="410"/>
      <c r="AP61" s="410"/>
      <c r="AQ61" s="410"/>
      <c r="AR61" s="410"/>
      <c r="AS61" s="410"/>
      <c r="AT61" s="423"/>
    </row>
    <row r="62" spans="2:59" ht="21.6" customHeight="1">
      <c r="B62" s="419" t="s">
        <v>54</v>
      </c>
      <c r="C62" s="420"/>
      <c r="D62" s="420"/>
      <c r="E62" s="420"/>
      <c r="F62" s="420"/>
      <c r="G62" s="411"/>
      <c r="H62" s="411"/>
      <c r="I62" s="411"/>
      <c r="J62" s="411"/>
      <c r="K62" s="411"/>
      <c r="L62" s="411"/>
      <c r="M62" s="411"/>
      <c r="N62" s="411"/>
      <c r="O62" s="411"/>
      <c r="P62" s="411"/>
      <c r="Q62" s="411"/>
      <c r="R62" s="411"/>
      <c r="S62" s="411"/>
      <c r="T62" s="411"/>
      <c r="U62" s="411"/>
      <c r="V62" s="411"/>
      <c r="W62" s="411"/>
      <c r="X62" s="411"/>
      <c r="Y62" s="411"/>
      <c r="Z62" s="76"/>
      <c r="AA62" s="413" t="s">
        <v>57</v>
      </c>
      <c r="AB62" s="413"/>
      <c r="AC62" s="413"/>
      <c r="AD62" s="413"/>
      <c r="AE62" s="413"/>
      <c r="AF62" s="424"/>
      <c r="AG62" s="424"/>
      <c r="AH62" s="424"/>
      <c r="AI62" s="424"/>
      <c r="AJ62" s="424"/>
      <c r="AK62" s="424"/>
      <c r="AL62" s="424"/>
      <c r="AM62" s="424"/>
      <c r="AN62" s="424"/>
      <c r="AO62" s="424"/>
      <c r="AP62" s="424"/>
      <c r="AQ62" s="424"/>
      <c r="AR62" s="424"/>
      <c r="AS62" s="424"/>
      <c r="AT62" s="425"/>
    </row>
    <row r="63" spans="2:59" ht="21.6" customHeight="1">
      <c r="B63" s="73"/>
      <c r="C63" s="71"/>
      <c r="D63" s="71"/>
      <c r="E63" s="71"/>
      <c r="F63" s="71"/>
      <c r="G63" s="71"/>
      <c r="H63" s="71"/>
      <c r="I63" s="71"/>
      <c r="J63" s="71"/>
      <c r="K63" s="71"/>
      <c r="L63" s="71"/>
      <c r="M63" s="71"/>
      <c r="N63" s="71"/>
      <c r="O63" s="71"/>
      <c r="P63" s="71"/>
      <c r="Q63" s="71"/>
      <c r="R63" s="71"/>
      <c r="S63" s="71"/>
      <c r="T63" s="71"/>
      <c r="U63" s="71"/>
      <c r="V63" s="71"/>
      <c r="W63" s="72"/>
      <c r="X63" s="72"/>
      <c r="Y63" s="72"/>
      <c r="Z63" s="72"/>
      <c r="AA63" s="407" t="s">
        <v>59</v>
      </c>
      <c r="AB63" s="407"/>
      <c r="AC63" s="407"/>
      <c r="AD63" s="407"/>
      <c r="AE63" s="407"/>
      <c r="AF63" s="252"/>
      <c r="AG63" s="252"/>
      <c r="AH63" s="252"/>
      <c r="AI63" s="252"/>
      <c r="AJ63" s="252"/>
      <c r="AK63" s="252"/>
      <c r="AL63" s="252"/>
      <c r="AM63" s="252"/>
      <c r="AN63" s="252"/>
      <c r="AO63" s="252"/>
      <c r="AP63" s="252"/>
      <c r="AQ63" s="252"/>
      <c r="AR63" s="252"/>
      <c r="AS63" s="252"/>
      <c r="AT63" s="253"/>
    </row>
    <row r="64" spans="2:59" ht="25.5" customHeight="1">
      <c r="B64" s="412" t="s">
        <v>58</v>
      </c>
      <c r="C64" s="413"/>
      <c r="D64" s="413"/>
      <c r="E64" s="413"/>
      <c r="F64" s="413"/>
      <c r="G64" s="413"/>
      <c r="H64" s="413"/>
      <c r="I64" s="413"/>
      <c r="J64" s="413"/>
      <c r="K64" s="413"/>
      <c r="L64" s="285"/>
      <c r="M64" s="285"/>
      <c r="N64" s="285"/>
      <c r="O64" s="285"/>
      <c r="P64" s="285"/>
      <c r="Q64" s="285"/>
      <c r="R64" s="285"/>
      <c r="S64" s="285"/>
      <c r="T64" s="285"/>
      <c r="U64" s="285"/>
      <c r="V64" s="285"/>
      <c r="W64" s="285"/>
      <c r="X64" s="285"/>
      <c r="Y64" s="285"/>
      <c r="Z64" s="94"/>
      <c r="AA64" s="408" t="s">
        <v>53</v>
      </c>
      <c r="AB64" s="408"/>
      <c r="AC64" s="408"/>
      <c r="AD64" s="408"/>
      <c r="AE64" s="408"/>
      <c r="AF64" s="286"/>
      <c r="AG64" s="286"/>
      <c r="AH64" s="286"/>
      <c r="AI64" s="286"/>
      <c r="AJ64" s="286"/>
      <c r="AK64" s="286"/>
      <c r="AL64" s="286"/>
      <c r="AM64" s="286"/>
      <c r="AN64" s="286"/>
      <c r="AO64" s="286"/>
      <c r="AP64" s="286"/>
      <c r="AQ64" s="286"/>
      <c r="AR64" s="286"/>
      <c r="AS64" s="286"/>
      <c r="AT64" s="287"/>
    </row>
    <row r="65" spans="2:62" ht="21.6" customHeight="1">
      <c r="B65" s="118" t="s">
        <v>140</v>
      </c>
      <c r="C65" s="119"/>
      <c r="D65" s="119"/>
      <c r="E65" s="119"/>
      <c r="F65" s="119"/>
      <c r="G65" s="119"/>
      <c r="H65" s="119"/>
      <c r="I65" s="119"/>
      <c r="J65" s="119"/>
      <c r="K65" s="119"/>
      <c r="L65" s="119"/>
      <c r="M65" s="119"/>
      <c r="N65" s="119"/>
      <c r="O65" s="119"/>
      <c r="P65" s="119"/>
      <c r="Q65" s="119"/>
      <c r="R65" s="119"/>
      <c r="S65" s="119"/>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119"/>
      <c r="AT65" s="120"/>
    </row>
    <row r="67" spans="2:62" s="22" customFormat="1" ht="21.6" customHeight="1">
      <c r="B67" s="273" t="s">
        <v>120</v>
      </c>
      <c r="C67" s="274"/>
      <c r="D67" s="274"/>
      <c r="E67" s="274"/>
      <c r="F67" s="274"/>
      <c r="G67" s="274"/>
      <c r="H67" s="274"/>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4"/>
      <c r="AG67" s="274"/>
      <c r="AH67" s="274"/>
      <c r="AI67" s="274"/>
      <c r="AJ67" s="274"/>
      <c r="AK67" s="274"/>
      <c r="AL67" s="274"/>
      <c r="AM67" s="274"/>
      <c r="AN67" s="274"/>
      <c r="AO67" s="274"/>
      <c r="AP67" s="274"/>
      <c r="AQ67" s="274"/>
      <c r="AR67" s="274"/>
      <c r="AS67" s="274"/>
      <c r="AT67" s="275"/>
      <c r="BB67" s="2"/>
      <c r="BD67" s="22" t="s">
        <v>11</v>
      </c>
      <c r="BE67" s="62" t="s">
        <v>12</v>
      </c>
      <c r="BF67" s="62" t="s">
        <v>13</v>
      </c>
      <c r="BG67" s="62" t="s">
        <v>14</v>
      </c>
    </row>
    <row r="68" spans="2:62" s="22" customFormat="1" ht="21.6" customHeight="1">
      <c r="B68" s="276"/>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c r="AD68" s="277"/>
      <c r="AE68" s="277"/>
      <c r="AF68" s="277"/>
      <c r="AG68" s="277"/>
      <c r="AH68" s="277"/>
      <c r="AI68" s="277"/>
      <c r="AJ68" s="277"/>
      <c r="AK68" s="277"/>
      <c r="AL68" s="277"/>
      <c r="AM68" s="277"/>
      <c r="AN68" s="277"/>
      <c r="AO68" s="277"/>
      <c r="AP68" s="277"/>
      <c r="AQ68" s="277"/>
      <c r="AR68" s="277"/>
      <c r="AS68" s="277"/>
      <c r="AT68" s="278"/>
      <c r="BB68" s="3"/>
      <c r="BD68" s="22" t="s">
        <v>15</v>
      </c>
      <c r="BE68" s="62">
        <v>11</v>
      </c>
      <c r="BF68" s="62">
        <v>7</v>
      </c>
      <c r="BG68" s="62">
        <v>9</v>
      </c>
    </row>
    <row r="69" spans="2:62" s="22" customFormat="1" ht="21.6" customHeight="1">
      <c r="B69" s="121" t="s">
        <v>126</v>
      </c>
      <c r="C69" s="122"/>
      <c r="D69" s="122"/>
      <c r="E69" s="122"/>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93"/>
      <c r="AM69" s="93"/>
      <c r="AN69" s="93"/>
      <c r="AO69" s="93"/>
      <c r="AP69" s="93"/>
      <c r="AQ69" s="93"/>
      <c r="AR69" s="93"/>
      <c r="AS69" s="93"/>
      <c r="AT69" s="111" t="str">
        <f>AN4</f>
        <v>Version 2.18 Mar 2018</v>
      </c>
      <c r="BB69" s="3"/>
      <c r="BD69" s="22" t="s">
        <v>17</v>
      </c>
      <c r="BE69" s="62">
        <v>14</v>
      </c>
      <c r="BF69" s="62">
        <v>9</v>
      </c>
      <c r="BG69" s="62">
        <v>9</v>
      </c>
    </row>
    <row r="70" spans="2:62" s="22" customFormat="1" ht="21.6" customHeight="1">
      <c r="B70" s="279" t="s">
        <v>1</v>
      </c>
      <c r="C70" s="280"/>
      <c r="D70" s="280"/>
      <c r="E70" s="280"/>
      <c r="F70" s="280"/>
      <c r="G70" s="205" t="str">
        <f>IF(G5="","",G5)</f>
        <v>Stuart Patching</v>
      </c>
      <c r="H70" s="281"/>
      <c r="I70" s="281"/>
      <c r="J70" s="281"/>
      <c r="K70" s="281"/>
      <c r="L70" s="281"/>
      <c r="M70" s="281"/>
      <c r="N70" s="281"/>
      <c r="O70" s="281"/>
      <c r="P70" s="281"/>
      <c r="Q70" s="281"/>
      <c r="R70" s="281"/>
      <c r="S70" s="281"/>
      <c r="T70" s="281"/>
      <c r="U70" s="282" t="s">
        <v>3</v>
      </c>
      <c r="V70" s="282"/>
      <c r="W70" s="282"/>
      <c r="X70" s="205" t="str">
        <f>IF(X5="","",X5)</f>
        <v>student</v>
      </c>
      <c r="Y70" s="205"/>
      <c r="Z70" s="205"/>
      <c r="AA70" s="205"/>
      <c r="AB70" s="205"/>
      <c r="AC70" s="283" t="str">
        <f>IF(X70="member of staff", "Employee number :",IF(X70="student","Student Enrolment number:",IF(X70="visitor","National Insurance number:","ID Number")))</f>
        <v>Student Enrolment number:</v>
      </c>
      <c r="AD70" s="283"/>
      <c r="AE70" s="283"/>
      <c r="AF70" s="283"/>
      <c r="AG70" s="283"/>
      <c r="AH70" s="283"/>
      <c r="AI70" s="283"/>
      <c r="AJ70" s="283"/>
      <c r="AK70" s="283"/>
      <c r="AL70" s="205">
        <f>IF(AL5="","",AL5)</f>
        <v>26022764</v>
      </c>
      <c r="AM70" s="281"/>
      <c r="AN70" s="281"/>
      <c r="AO70" s="281"/>
      <c r="AP70" s="281"/>
      <c r="AQ70" s="281"/>
      <c r="AR70" s="281"/>
      <c r="AS70" s="281"/>
      <c r="AT70" s="284"/>
      <c r="BB70" s="3"/>
      <c r="BD70" s="22" t="s">
        <v>20</v>
      </c>
      <c r="BE70" s="62">
        <v>14</v>
      </c>
      <c r="BF70" s="62">
        <v>9</v>
      </c>
      <c r="BG70" s="62">
        <v>11</v>
      </c>
    </row>
    <row r="71" spans="2:62" s="22" customFormat="1" ht="9" customHeight="1">
      <c r="B71" s="270"/>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2"/>
      <c r="BD71" s="22" t="s">
        <v>21</v>
      </c>
      <c r="BE71" s="62">
        <v>21</v>
      </c>
      <c r="BF71" s="62">
        <v>14</v>
      </c>
      <c r="BG71" s="62">
        <v>13</v>
      </c>
    </row>
    <row r="72" spans="2:62" s="22" customFormat="1" ht="14.25" customHeight="1">
      <c r="B72" s="242"/>
      <c r="C72" s="243"/>
      <c r="D72" s="243"/>
      <c r="E72" s="243"/>
      <c r="F72" s="243"/>
      <c r="G72" s="243"/>
      <c r="H72" s="243"/>
      <c r="I72" s="243"/>
      <c r="J72" s="243"/>
      <c r="K72" s="243"/>
      <c r="L72" s="243"/>
      <c r="M72" s="243"/>
      <c r="N72" s="243"/>
      <c r="O72" s="243"/>
      <c r="P72" s="243"/>
      <c r="Q72" s="243"/>
      <c r="R72" s="243"/>
      <c r="S72" s="243"/>
      <c r="T72" s="243"/>
      <c r="U72" s="243"/>
      <c r="V72" s="243"/>
      <c r="W72" s="243"/>
      <c r="X72" s="243"/>
      <c r="Y72" s="243"/>
      <c r="Z72" s="243"/>
      <c r="AA72" s="244"/>
      <c r="AB72" s="244"/>
      <c r="AC72" s="244"/>
      <c r="AD72" s="244"/>
      <c r="AE72" s="244"/>
      <c r="AF72" s="244"/>
      <c r="AG72" s="244"/>
      <c r="AH72" s="244"/>
      <c r="AI72" s="244"/>
      <c r="AJ72" s="244"/>
      <c r="AK72" s="244"/>
      <c r="AL72" s="244"/>
      <c r="AM72" s="243"/>
      <c r="AN72" s="243"/>
      <c r="AO72" s="243"/>
      <c r="AP72" s="243"/>
      <c r="AQ72" s="243"/>
      <c r="AR72" s="243"/>
      <c r="AS72" s="243"/>
      <c r="AT72" s="245"/>
      <c r="BD72" s="46"/>
      <c r="BE72" s="47"/>
      <c r="BF72" s="47"/>
      <c r="BG72" s="47"/>
      <c r="BH72" s="46"/>
      <c r="BI72" s="46"/>
      <c r="BJ72" s="46"/>
    </row>
    <row r="73" spans="2:62" s="22" customFormat="1" ht="21.6" customHeight="1">
      <c r="B73" s="246" t="s">
        <v>86</v>
      </c>
      <c r="C73" s="247"/>
      <c r="D73" s="247"/>
      <c r="E73" s="247"/>
      <c r="F73" s="247"/>
      <c r="G73" s="247"/>
      <c r="H73" s="247"/>
      <c r="I73" s="247"/>
      <c r="J73" s="247"/>
      <c r="K73" s="247"/>
      <c r="L73" s="247"/>
      <c r="M73" s="247"/>
      <c r="N73" s="247"/>
      <c r="O73" s="247"/>
      <c r="P73" s="247"/>
      <c r="Q73" s="247"/>
      <c r="R73" s="247"/>
      <c r="S73" s="248"/>
      <c r="T73" s="249" t="s">
        <v>88</v>
      </c>
      <c r="U73" s="250"/>
      <c r="V73" s="250"/>
      <c r="W73" s="250"/>
      <c r="X73" s="250"/>
      <c r="Y73" s="250"/>
      <c r="Z73" s="250"/>
      <c r="AA73" s="251" t="s">
        <v>27</v>
      </c>
      <c r="AB73" s="252"/>
      <c r="AC73" s="252"/>
      <c r="AD73" s="252"/>
      <c r="AE73" s="252"/>
      <c r="AF73" s="252"/>
      <c r="AG73" s="252"/>
      <c r="AH73" s="252"/>
      <c r="AI73" s="252"/>
      <c r="AJ73" s="252"/>
      <c r="AK73" s="252"/>
      <c r="AL73" s="253"/>
      <c r="AM73" s="254" t="s">
        <v>87</v>
      </c>
      <c r="AN73" s="254"/>
      <c r="AO73" s="254"/>
      <c r="AP73" s="254"/>
      <c r="AQ73" s="254"/>
      <c r="AR73" s="254"/>
      <c r="AS73" s="254"/>
      <c r="AT73" s="255"/>
      <c r="BE73" s="62"/>
      <c r="BF73" s="62"/>
      <c r="BG73" s="62"/>
    </row>
    <row r="74" spans="2:62" s="22" customFormat="1" ht="21.6" customHeight="1">
      <c r="B74" s="256" t="s">
        <v>9</v>
      </c>
      <c r="C74" s="257"/>
      <c r="D74" s="258"/>
      <c r="E74" s="259"/>
      <c r="F74" s="259"/>
      <c r="G74" s="259"/>
      <c r="H74" s="259"/>
      <c r="I74" s="259"/>
      <c r="J74" s="259"/>
      <c r="K74" s="259"/>
      <c r="L74" s="260"/>
      <c r="M74" s="256" t="s">
        <v>10</v>
      </c>
      <c r="N74" s="257"/>
      <c r="O74" s="258"/>
      <c r="P74" s="259"/>
      <c r="Q74" s="259"/>
      <c r="R74" s="259"/>
      <c r="S74" s="259"/>
      <c r="T74" s="259"/>
      <c r="U74" s="259"/>
      <c r="V74" s="259"/>
      <c r="W74" s="259"/>
      <c r="X74" s="260"/>
      <c r="Y74" s="261" t="str">
        <f>IF(OR(AA73="Personal/ Not a UoR salary exchange car",AA73="Motorcycle"),"Engine size","*Engine size")</f>
        <v>Engine size</v>
      </c>
      <c r="Z74" s="262"/>
      <c r="AA74" s="262"/>
      <c r="AB74" s="263"/>
      <c r="AC74" s="264" t="s">
        <v>15</v>
      </c>
      <c r="AD74" s="265"/>
      <c r="AE74" s="265"/>
      <c r="AF74" s="265"/>
      <c r="AG74" s="265"/>
      <c r="AH74" s="266"/>
      <c r="AI74" s="261" t="str">
        <f>IF(OR(AA73="Personal/ Not a UoR salary exchange car",AA73="Motorcycle"),"Fuel type","*Fuel type")</f>
        <v>Fuel type</v>
      </c>
      <c r="AJ74" s="262"/>
      <c r="AK74" s="262"/>
      <c r="AL74" s="263"/>
      <c r="AM74" s="267" t="s">
        <v>12</v>
      </c>
      <c r="AN74" s="268"/>
      <c r="AO74" s="268"/>
      <c r="AP74" s="269"/>
      <c r="AQ74" s="64"/>
      <c r="AR74" s="64"/>
      <c r="AS74" s="64"/>
      <c r="AT74" s="65"/>
      <c r="BE74" s="62"/>
      <c r="BF74" s="62"/>
      <c r="BG74" s="62"/>
    </row>
    <row r="75" spans="2:62" s="22" customFormat="1" ht="23.25" customHeight="1">
      <c r="B75" s="216" t="s">
        <v>89</v>
      </c>
      <c r="C75" s="217"/>
      <c r="D75" s="217"/>
      <c r="E75" s="217"/>
      <c r="F75" s="217"/>
      <c r="G75" s="217"/>
      <c r="H75" s="217"/>
      <c r="I75" s="217"/>
      <c r="J75" s="217"/>
      <c r="K75" s="218"/>
      <c r="L75" s="219">
        <v>0</v>
      </c>
      <c r="M75" s="220"/>
      <c r="N75" s="221"/>
      <c r="O75" s="66"/>
      <c r="P75" s="222" t="s">
        <v>33</v>
      </c>
      <c r="Q75" s="222"/>
      <c r="R75" s="222"/>
      <c r="S75" s="222"/>
      <c r="T75" s="222"/>
      <c r="U75" s="222"/>
      <c r="V75" s="222"/>
      <c r="W75" s="222"/>
      <c r="X75" s="223"/>
      <c r="Y75" s="224">
        <f>L75+AE96</f>
        <v>0</v>
      </c>
      <c r="Z75" s="225"/>
      <c r="AA75" s="226"/>
      <c r="AB75" s="227" t="s">
        <v>85</v>
      </c>
      <c r="AC75" s="228"/>
      <c r="AD75" s="228"/>
      <c r="AE75" s="228"/>
      <c r="AF75" s="228"/>
      <c r="AG75" s="228"/>
      <c r="AH75" s="229"/>
      <c r="AI75" s="230" t="s">
        <v>83</v>
      </c>
      <c r="AJ75" s="231"/>
      <c r="AK75" s="231"/>
      <c r="AL75" s="231"/>
      <c r="AM75" s="232"/>
      <c r="AN75" s="232"/>
      <c r="AO75" s="232"/>
      <c r="AP75" s="232"/>
      <c r="AQ75" s="231"/>
      <c r="AR75" s="231"/>
      <c r="AS75" s="231"/>
      <c r="AT75" s="233"/>
      <c r="BD75" s="22">
        <f>IF(Y75=0,0,IF(Y75&gt;10000,"Yes", "No"))</f>
        <v>0</v>
      </c>
      <c r="BE75" s="62"/>
      <c r="BF75" s="62"/>
      <c r="BG75" s="62"/>
    </row>
    <row r="76" spans="2:62" s="22" customFormat="1" ht="21.6" customHeight="1">
      <c r="B76" s="234" t="s">
        <v>4</v>
      </c>
      <c r="C76" s="197"/>
      <c r="D76" s="197"/>
      <c r="E76" s="198"/>
      <c r="F76" s="234" t="s">
        <v>26</v>
      </c>
      <c r="G76" s="197"/>
      <c r="H76" s="197"/>
      <c r="I76" s="197"/>
      <c r="J76" s="197"/>
      <c r="K76" s="197"/>
      <c r="L76" s="197"/>
      <c r="M76" s="197"/>
      <c r="N76" s="197"/>
      <c r="O76" s="197"/>
      <c r="P76" s="197"/>
      <c r="Q76" s="197"/>
      <c r="R76" s="197"/>
      <c r="S76" s="197"/>
      <c r="T76" s="197"/>
      <c r="U76" s="197"/>
      <c r="V76" s="197"/>
      <c r="W76" s="197"/>
      <c r="X76" s="197"/>
      <c r="Y76" s="197"/>
      <c r="Z76" s="235"/>
      <c r="AA76" s="197"/>
      <c r="AB76" s="197"/>
      <c r="AC76" s="197"/>
      <c r="AD76" s="198"/>
      <c r="AE76" s="236" t="s">
        <v>91</v>
      </c>
      <c r="AF76" s="237"/>
      <c r="AG76" s="237"/>
      <c r="AH76" s="238"/>
      <c r="AI76" s="236" t="s">
        <v>5</v>
      </c>
      <c r="AJ76" s="237"/>
      <c r="AK76" s="237"/>
      <c r="AL76" s="238"/>
      <c r="AM76" s="236" t="s">
        <v>6</v>
      </c>
      <c r="AN76" s="237"/>
      <c r="AO76" s="237"/>
      <c r="AP76" s="238"/>
      <c r="AQ76" s="239" t="s">
        <v>90</v>
      </c>
      <c r="AR76" s="240"/>
      <c r="AS76" s="240"/>
      <c r="AT76" s="241"/>
      <c r="BE76" s="62"/>
      <c r="BF76" s="62"/>
      <c r="BG76" s="62"/>
    </row>
    <row r="77" spans="2:62" s="22" customFormat="1" ht="21.6" customHeight="1">
      <c r="B77" s="152"/>
      <c r="C77" s="153"/>
      <c r="D77" s="153"/>
      <c r="E77" s="154"/>
      <c r="F77" s="155"/>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7"/>
      <c r="AE77" s="161"/>
      <c r="AF77" s="162"/>
      <c r="AG77" s="162"/>
      <c r="AH77" s="163"/>
      <c r="AI77" s="166">
        <f>IF(ISNA(VLOOKUP($BD77,Rates,7,FALSE)),0,(VLOOKUP($BD77,Rates,7,FALSE)))</f>
        <v>0</v>
      </c>
      <c r="AJ77" s="167"/>
      <c r="AK77" s="167"/>
      <c r="AL77" s="67" t="s">
        <v>24</v>
      </c>
      <c r="AM77" s="166">
        <f t="shared" ref="AM77:AM90" si="3">IF(ISNA(VLOOKUP($BD77,Rates,8,FALSE)),0,(VLOOKUP($BD77,Rates,8,FALSE)))</f>
        <v>0</v>
      </c>
      <c r="AN77" s="167"/>
      <c r="AO77" s="167"/>
      <c r="AP77" s="67" t="s">
        <v>24</v>
      </c>
      <c r="AQ77" s="191">
        <f>IF(AE77=0,0,IF(AE77&lt;71,AE77*AI77/100,IF(AE77&gt;70,70*(AI77/100)+(AE77-70)*AM77/100)))</f>
        <v>0</v>
      </c>
      <c r="AR77" s="192"/>
      <c r="AS77" s="192"/>
      <c r="AT77" s="193"/>
      <c r="BD77" s="22" t="str">
        <f>CONCATENATE($AA$73,$AC$74,$AM$74,$BD$75)</f>
        <v>Personal/ Not a UoR salary exchange car0 - 1400 ccPetrol0</v>
      </c>
      <c r="BE77" s="62"/>
      <c r="BF77" s="62"/>
      <c r="BG77" s="62"/>
    </row>
    <row r="78" spans="2:62" s="22" customFormat="1" ht="21.6" customHeight="1">
      <c r="B78" s="152"/>
      <c r="C78" s="153"/>
      <c r="D78" s="153"/>
      <c r="E78" s="154"/>
      <c r="F78" s="155"/>
      <c r="G78" s="156"/>
      <c r="H78" s="156"/>
      <c r="I78" s="156"/>
      <c r="J78" s="156"/>
      <c r="K78" s="156"/>
      <c r="L78" s="156"/>
      <c r="M78" s="156"/>
      <c r="N78" s="156"/>
      <c r="O78" s="156"/>
      <c r="P78" s="156"/>
      <c r="Q78" s="156"/>
      <c r="R78" s="156"/>
      <c r="S78" s="156"/>
      <c r="T78" s="156"/>
      <c r="U78" s="156"/>
      <c r="V78" s="156"/>
      <c r="W78" s="156"/>
      <c r="X78" s="156"/>
      <c r="Y78" s="156"/>
      <c r="Z78" s="156"/>
      <c r="AA78" s="156"/>
      <c r="AB78" s="156"/>
      <c r="AC78" s="156"/>
      <c r="AD78" s="157"/>
      <c r="AE78" s="161"/>
      <c r="AF78" s="162"/>
      <c r="AG78" s="162"/>
      <c r="AH78" s="163"/>
      <c r="AI78" s="166">
        <f t="shared" ref="AI78:AI90" si="4">IF(ISNA(VLOOKUP($BD78,Rates,7,FALSE)),0,(VLOOKUP($BD78,Rates,7,FALSE)))</f>
        <v>0</v>
      </c>
      <c r="AJ78" s="167"/>
      <c r="AK78" s="167"/>
      <c r="AL78" s="67" t="s">
        <v>24</v>
      </c>
      <c r="AM78" s="166">
        <f t="shared" si="3"/>
        <v>0</v>
      </c>
      <c r="AN78" s="167"/>
      <c r="AO78" s="167"/>
      <c r="AP78" s="67" t="s">
        <v>24</v>
      </c>
      <c r="AQ78" s="191">
        <f>IF(AE78=0,0,IF(AE78&lt;71,AE78*AI78/100,IF(AE78&gt;70,70*(AI78/100)+(AE78-70)*AM78/100)))</f>
        <v>0</v>
      </c>
      <c r="AR78" s="192"/>
      <c r="AS78" s="192"/>
      <c r="AT78" s="193"/>
      <c r="BD78" s="22" t="str">
        <f t="shared" ref="BD78:BD95" si="5">CONCATENATE($AA$73,$AC$74,$AM$74,$BD$75)</f>
        <v>Personal/ Not a UoR salary exchange car0 - 1400 ccPetrol0</v>
      </c>
      <c r="BE78" s="62"/>
      <c r="BF78" s="62"/>
      <c r="BG78" s="62" t="s">
        <v>156</v>
      </c>
    </row>
    <row r="79" spans="2:62" s="22" customFormat="1" ht="21.6" customHeight="1">
      <c r="B79" s="152"/>
      <c r="C79" s="153"/>
      <c r="D79" s="153"/>
      <c r="E79" s="154"/>
      <c r="F79" s="190"/>
      <c r="G79" s="156"/>
      <c r="H79" s="156"/>
      <c r="I79" s="156"/>
      <c r="J79" s="156"/>
      <c r="K79" s="156"/>
      <c r="L79" s="156"/>
      <c r="M79" s="156"/>
      <c r="N79" s="156"/>
      <c r="O79" s="156"/>
      <c r="P79" s="156"/>
      <c r="Q79" s="156"/>
      <c r="R79" s="156"/>
      <c r="S79" s="156"/>
      <c r="T79" s="156"/>
      <c r="U79" s="156"/>
      <c r="V79" s="156"/>
      <c r="W79" s="156"/>
      <c r="X79" s="156"/>
      <c r="Y79" s="156"/>
      <c r="Z79" s="156"/>
      <c r="AA79" s="156"/>
      <c r="AB79" s="156"/>
      <c r="AC79" s="156"/>
      <c r="AD79" s="157"/>
      <c r="AE79" s="161"/>
      <c r="AF79" s="162"/>
      <c r="AG79" s="162"/>
      <c r="AH79" s="163"/>
      <c r="AI79" s="166">
        <f t="shared" si="4"/>
        <v>0</v>
      </c>
      <c r="AJ79" s="167"/>
      <c r="AK79" s="167"/>
      <c r="AL79" s="67" t="s">
        <v>24</v>
      </c>
      <c r="AM79" s="166">
        <f t="shared" si="3"/>
        <v>0</v>
      </c>
      <c r="AN79" s="167"/>
      <c r="AO79" s="167"/>
      <c r="AP79" s="67" t="s">
        <v>24</v>
      </c>
      <c r="AQ79" s="191">
        <f t="shared" ref="AQ79:AQ90" si="6">IF(AE79=0,0,IF(AE79&lt;71,AE79*AI79/100,IF(AE79&gt;70,70*(AI79/100)+(AE79-70)*AM79/100)))</f>
        <v>0</v>
      </c>
      <c r="AR79" s="192"/>
      <c r="AS79" s="192"/>
      <c r="AT79" s="193"/>
      <c r="BD79" s="22" t="str">
        <f t="shared" si="5"/>
        <v>Personal/ Not a UoR salary exchange car0 - 1400 ccPetrol0</v>
      </c>
      <c r="BE79" s="62"/>
      <c r="BF79" s="62"/>
      <c r="BG79" s="62"/>
    </row>
    <row r="80" spans="2:62" s="22" customFormat="1" ht="21.6" customHeight="1">
      <c r="B80" s="152"/>
      <c r="C80" s="153"/>
      <c r="D80" s="153"/>
      <c r="E80" s="154"/>
      <c r="F80" s="190"/>
      <c r="G80" s="156"/>
      <c r="H80" s="156"/>
      <c r="I80" s="156"/>
      <c r="J80" s="156"/>
      <c r="K80" s="156"/>
      <c r="L80" s="156"/>
      <c r="M80" s="156"/>
      <c r="N80" s="156"/>
      <c r="O80" s="156"/>
      <c r="P80" s="156"/>
      <c r="Q80" s="156"/>
      <c r="R80" s="156"/>
      <c r="S80" s="156"/>
      <c r="T80" s="156"/>
      <c r="U80" s="156"/>
      <c r="V80" s="156"/>
      <c r="W80" s="156"/>
      <c r="X80" s="156"/>
      <c r="Y80" s="156"/>
      <c r="Z80" s="156"/>
      <c r="AA80" s="156"/>
      <c r="AB80" s="156"/>
      <c r="AC80" s="156"/>
      <c r="AD80" s="157"/>
      <c r="AE80" s="161"/>
      <c r="AF80" s="162"/>
      <c r="AG80" s="162"/>
      <c r="AH80" s="163"/>
      <c r="AI80" s="166">
        <f t="shared" si="4"/>
        <v>0</v>
      </c>
      <c r="AJ80" s="167"/>
      <c r="AK80" s="167"/>
      <c r="AL80" s="67" t="s">
        <v>24</v>
      </c>
      <c r="AM80" s="166">
        <f t="shared" si="3"/>
        <v>0</v>
      </c>
      <c r="AN80" s="167"/>
      <c r="AO80" s="167"/>
      <c r="AP80" s="67" t="s">
        <v>24</v>
      </c>
      <c r="AQ80" s="191">
        <f t="shared" ref="AQ80:AQ89" si="7">IF(AE80=0,0,IF(AE80&lt;71,AE80*AI80/100,IF(AE80&gt;70,70*(AI80/100)+(AE80-70)*AM80/100)))</f>
        <v>0</v>
      </c>
      <c r="AR80" s="192"/>
      <c r="AS80" s="192"/>
      <c r="AT80" s="193"/>
      <c r="BD80" s="22" t="str">
        <f t="shared" si="5"/>
        <v>Personal/ Not a UoR salary exchange car0 - 1400 ccPetrol0</v>
      </c>
      <c r="BE80" s="62"/>
      <c r="BF80" s="62"/>
      <c r="BG80" s="62"/>
    </row>
    <row r="81" spans="2:59" s="22" customFormat="1" ht="21.6" customHeight="1">
      <c r="B81" s="152"/>
      <c r="C81" s="153"/>
      <c r="D81" s="153"/>
      <c r="E81" s="154"/>
      <c r="F81" s="190"/>
      <c r="G81" s="156"/>
      <c r="H81" s="156"/>
      <c r="I81" s="156"/>
      <c r="J81" s="156"/>
      <c r="K81" s="156"/>
      <c r="L81" s="156"/>
      <c r="M81" s="156"/>
      <c r="N81" s="156"/>
      <c r="O81" s="156"/>
      <c r="P81" s="156"/>
      <c r="Q81" s="156"/>
      <c r="R81" s="156"/>
      <c r="S81" s="156"/>
      <c r="T81" s="156"/>
      <c r="U81" s="156"/>
      <c r="V81" s="156"/>
      <c r="W81" s="156"/>
      <c r="X81" s="156"/>
      <c r="Y81" s="156"/>
      <c r="Z81" s="156"/>
      <c r="AA81" s="156"/>
      <c r="AB81" s="156"/>
      <c r="AC81" s="156"/>
      <c r="AD81" s="157"/>
      <c r="AE81" s="161"/>
      <c r="AF81" s="162"/>
      <c r="AG81" s="162"/>
      <c r="AH81" s="163"/>
      <c r="AI81" s="166">
        <f t="shared" si="4"/>
        <v>0</v>
      </c>
      <c r="AJ81" s="167"/>
      <c r="AK81" s="167"/>
      <c r="AL81" s="67" t="s">
        <v>24</v>
      </c>
      <c r="AM81" s="166">
        <f t="shared" si="3"/>
        <v>0</v>
      </c>
      <c r="AN81" s="167"/>
      <c r="AO81" s="167"/>
      <c r="AP81" s="67" t="s">
        <v>24</v>
      </c>
      <c r="AQ81" s="191">
        <f t="shared" si="7"/>
        <v>0</v>
      </c>
      <c r="AR81" s="192"/>
      <c r="AS81" s="192"/>
      <c r="AT81" s="193"/>
      <c r="BD81" s="22" t="str">
        <f t="shared" si="5"/>
        <v>Personal/ Not a UoR salary exchange car0 - 1400 ccPetrol0</v>
      </c>
      <c r="BE81" s="62"/>
      <c r="BF81" s="62"/>
      <c r="BG81" s="62"/>
    </row>
    <row r="82" spans="2:59" s="22" customFormat="1" ht="21.6" customHeight="1">
      <c r="B82" s="152"/>
      <c r="C82" s="153"/>
      <c r="D82" s="153"/>
      <c r="E82" s="154"/>
      <c r="F82" s="190"/>
      <c r="G82" s="156"/>
      <c r="H82" s="156"/>
      <c r="I82" s="156"/>
      <c r="J82" s="156"/>
      <c r="K82" s="156"/>
      <c r="L82" s="156"/>
      <c r="M82" s="156"/>
      <c r="N82" s="156"/>
      <c r="O82" s="156"/>
      <c r="P82" s="156"/>
      <c r="Q82" s="156"/>
      <c r="R82" s="156"/>
      <c r="S82" s="156"/>
      <c r="T82" s="156"/>
      <c r="U82" s="156"/>
      <c r="V82" s="156"/>
      <c r="W82" s="156"/>
      <c r="X82" s="156"/>
      <c r="Y82" s="156"/>
      <c r="Z82" s="156"/>
      <c r="AA82" s="156"/>
      <c r="AB82" s="156"/>
      <c r="AC82" s="156"/>
      <c r="AD82" s="157"/>
      <c r="AE82" s="161"/>
      <c r="AF82" s="162"/>
      <c r="AG82" s="162"/>
      <c r="AH82" s="163"/>
      <c r="AI82" s="166">
        <f t="shared" si="4"/>
        <v>0</v>
      </c>
      <c r="AJ82" s="167"/>
      <c r="AK82" s="167"/>
      <c r="AL82" s="67" t="s">
        <v>24</v>
      </c>
      <c r="AM82" s="166">
        <f t="shared" si="3"/>
        <v>0</v>
      </c>
      <c r="AN82" s="167"/>
      <c r="AO82" s="167"/>
      <c r="AP82" s="67" t="s">
        <v>24</v>
      </c>
      <c r="AQ82" s="191">
        <f t="shared" si="7"/>
        <v>0</v>
      </c>
      <c r="AR82" s="192"/>
      <c r="AS82" s="192"/>
      <c r="AT82" s="193"/>
      <c r="BD82" s="22" t="str">
        <f t="shared" si="5"/>
        <v>Personal/ Not a UoR salary exchange car0 - 1400 ccPetrol0</v>
      </c>
      <c r="BE82" s="62"/>
      <c r="BF82" s="62"/>
      <c r="BG82" s="62"/>
    </row>
    <row r="83" spans="2:59" s="22" customFormat="1" ht="21.6" customHeight="1">
      <c r="B83" s="152"/>
      <c r="C83" s="153"/>
      <c r="D83" s="153"/>
      <c r="E83" s="154"/>
      <c r="F83" s="190"/>
      <c r="G83" s="156"/>
      <c r="H83" s="156"/>
      <c r="I83" s="156"/>
      <c r="J83" s="156"/>
      <c r="K83" s="156"/>
      <c r="L83" s="156"/>
      <c r="M83" s="156"/>
      <c r="N83" s="156"/>
      <c r="O83" s="156"/>
      <c r="P83" s="156"/>
      <c r="Q83" s="156"/>
      <c r="R83" s="156"/>
      <c r="S83" s="156"/>
      <c r="T83" s="156"/>
      <c r="U83" s="156"/>
      <c r="V83" s="156"/>
      <c r="W83" s="156"/>
      <c r="X83" s="156"/>
      <c r="Y83" s="156"/>
      <c r="Z83" s="156"/>
      <c r="AA83" s="156"/>
      <c r="AB83" s="156"/>
      <c r="AC83" s="156"/>
      <c r="AD83" s="157"/>
      <c r="AE83" s="161"/>
      <c r="AF83" s="162"/>
      <c r="AG83" s="162"/>
      <c r="AH83" s="163"/>
      <c r="AI83" s="166">
        <f t="shared" si="4"/>
        <v>0</v>
      </c>
      <c r="AJ83" s="167"/>
      <c r="AK83" s="167"/>
      <c r="AL83" s="67" t="s">
        <v>24</v>
      </c>
      <c r="AM83" s="166">
        <f t="shared" si="3"/>
        <v>0</v>
      </c>
      <c r="AN83" s="167"/>
      <c r="AO83" s="167"/>
      <c r="AP83" s="67" t="s">
        <v>24</v>
      </c>
      <c r="AQ83" s="191">
        <f t="shared" si="7"/>
        <v>0</v>
      </c>
      <c r="AR83" s="192"/>
      <c r="AS83" s="192"/>
      <c r="AT83" s="193"/>
      <c r="BD83" s="22" t="str">
        <f t="shared" si="5"/>
        <v>Personal/ Not a UoR salary exchange car0 - 1400 ccPetrol0</v>
      </c>
      <c r="BE83" s="62"/>
      <c r="BF83" s="62"/>
      <c r="BG83" s="62"/>
    </row>
    <row r="84" spans="2:59" s="22" customFormat="1" ht="21.6" customHeight="1">
      <c r="B84" s="152"/>
      <c r="C84" s="153"/>
      <c r="D84" s="153"/>
      <c r="E84" s="154"/>
      <c r="F84" s="190"/>
      <c r="G84" s="156"/>
      <c r="H84" s="156"/>
      <c r="I84" s="156"/>
      <c r="J84" s="156"/>
      <c r="K84" s="156"/>
      <c r="L84" s="156"/>
      <c r="M84" s="156"/>
      <c r="N84" s="156"/>
      <c r="O84" s="156"/>
      <c r="P84" s="156"/>
      <c r="Q84" s="156"/>
      <c r="R84" s="156"/>
      <c r="S84" s="156"/>
      <c r="T84" s="156"/>
      <c r="U84" s="156"/>
      <c r="V84" s="156"/>
      <c r="W84" s="156"/>
      <c r="X84" s="156"/>
      <c r="Y84" s="156"/>
      <c r="Z84" s="156"/>
      <c r="AA84" s="156"/>
      <c r="AB84" s="156"/>
      <c r="AC84" s="156"/>
      <c r="AD84" s="157"/>
      <c r="AE84" s="161"/>
      <c r="AF84" s="162"/>
      <c r="AG84" s="162"/>
      <c r="AH84" s="163"/>
      <c r="AI84" s="166">
        <f t="shared" si="4"/>
        <v>0</v>
      </c>
      <c r="AJ84" s="167"/>
      <c r="AK84" s="167"/>
      <c r="AL84" s="67" t="s">
        <v>24</v>
      </c>
      <c r="AM84" s="166">
        <f t="shared" si="3"/>
        <v>0</v>
      </c>
      <c r="AN84" s="167"/>
      <c r="AO84" s="167"/>
      <c r="AP84" s="67" t="s">
        <v>24</v>
      </c>
      <c r="AQ84" s="191">
        <f t="shared" si="7"/>
        <v>0</v>
      </c>
      <c r="AR84" s="192"/>
      <c r="AS84" s="192"/>
      <c r="AT84" s="193"/>
      <c r="BD84" s="22" t="str">
        <f t="shared" si="5"/>
        <v>Personal/ Not a UoR salary exchange car0 - 1400 ccPetrol0</v>
      </c>
      <c r="BE84" s="62"/>
      <c r="BF84" s="62"/>
      <c r="BG84" s="62"/>
    </row>
    <row r="85" spans="2:59" s="22" customFormat="1" ht="21.6" customHeight="1">
      <c r="B85" s="152"/>
      <c r="C85" s="153"/>
      <c r="D85" s="153"/>
      <c r="E85" s="154"/>
      <c r="F85" s="190"/>
      <c r="G85" s="156"/>
      <c r="H85" s="156"/>
      <c r="I85" s="156"/>
      <c r="J85" s="156"/>
      <c r="K85" s="156"/>
      <c r="L85" s="156"/>
      <c r="M85" s="156"/>
      <c r="N85" s="156"/>
      <c r="O85" s="156"/>
      <c r="P85" s="156"/>
      <c r="Q85" s="156"/>
      <c r="R85" s="156"/>
      <c r="S85" s="156"/>
      <c r="T85" s="156"/>
      <c r="U85" s="156"/>
      <c r="V85" s="156"/>
      <c r="W85" s="156"/>
      <c r="X85" s="156"/>
      <c r="Y85" s="156"/>
      <c r="Z85" s="156"/>
      <c r="AA85" s="156"/>
      <c r="AB85" s="156"/>
      <c r="AC85" s="156"/>
      <c r="AD85" s="157"/>
      <c r="AE85" s="161"/>
      <c r="AF85" s="162"/>
      <c r="AG85" s="162"/>
      <c r="AH85" s="163"/>
      <c r="AI85" s="166">
        <f t="shared" si="4"/>
        <v>0</v>
      </c>
      <c r="AJ85" s="167"/>
      <c r="AK85" s="167"/>
      <c r="AL85" s="67" t="s">
        <v>24</v>
      </c>
      <c r="AM85" s="166">
        <f t="shared" si="3"/>
        <v>0</v>
      </c>
      <c r="AN85" s="167"/>
      <c r="AO85" s="167"/>
      <c r="AP85" s="67" t="s">
        <v>24</v>
      </c>
      <c r="AQ85" s="191">
        <f t="shared" si="7"/>
        <v>0</v>
      </c>
      <c r="AR85" s="192"/>
      <c r="AS85" s="192"/>
      <c r="AT85" s="193"/>
      <c r="BD85" s="22" t="str">
        <f t="shared" si="5"/>
        <v>Personal/ Not a UoR salary exchange car0 - 1400 ccPetrol0</v>
      </c>
      <c r="BE85" s="62"/>
      <c r="BF85" s="62"/>
      <c r="BG85" s="62"/>
    </row>
    <row r="86" spans="2:59" s="22" customFormat="1" ht="21.6" customHeight="1">
      <c r="B86" s="152"/>
      <c r="C86" s="153"/>
      <c r="D86" s="153"/>
      <c r="E86" s="154"/>
      <c r="F86" s="190"/>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7"/>
      <c r="AE86" s="161"/>
      <c r="AF86" s="162"/>
      <c r="AG86" s="162"/>
      <c r="AH86" s="163"/>
      <c r="AI86" s="166">
        <f t="shared" si="4"/>
        <v>0</v>
      </c>
      <c r="AJ86" s="167"/>
      <c r="AK86" s="167"/>
      <c r="AL86" s="67" t="s">
        <v>24</v>
      </c>
      <c r="AM86" s="166">
        <f t="shared" si="3"/>
        <v>0</v>
      </c>
      <c r="AN86" s="167"/>
      <c r="AO86" s="167"/>
      <c r="AP86" s="67" t="s">
        <v>24</v>
      </c>
      <c r="AQ86" s="191">
        <f t="shared" si="7"/>
        <v>0</v>
      </c>
      <c r="AR86" s="192"/>
      <c r="AS86" s="192"/>
      <c r="AT86" s="193"/>
      <c r="BD86" s="22" t="str">
        <f t="shared" si="5"/>
        <v>Personal/ Not a UoR salary exchange car0 - 1400 ccPetrol0</v>
      </c>
      <c r="BE86" s="62"/>
      <c r="BF86" s="62"/>
      <c r="BG86" s="62"/>
    </row>
    <row r="87" spans="2:59" s="22" customFormat="1" ht="21.6" customHeight="1">
      <c r="B87" s="152"/>
      <c r="C87" s="153"/>
      <c r="D87" s="153"/>
      <c r="E87" s="154"/>
      <c r="F87" s="190"/>
      <c r="G87" s="156"/>
      <c r="H87" s="156"/>
      <c r="I87" s="156"/>
      <c r="J87" s="156"/>
      <c r="K87" s="156"/>
      <c r="L87" s="156"/>
      <c r="M87" s="156"/>
      <c r="N87" s="156"/>
      <c r="O87" s="156"/>
      <c r="P87" s="156"/>
      <c r="Q87" s="156"/>
      <c r="R87" s="156"/>
      <c r="S87" s="156"/>
      <c r="T87" s="156"/>
      <c r="U87" s="156"/>
      <c r="V87" s="156"/>
      <c r="W87" s="156"/>
      <c r="X87" s="156"/>
      <c r="Y87" s="156"/>
      <c r="Z87" s="156"/>
      <c r="AA87" s="156"/>
      <c r="AB87" s="156"/>
      <c r="AC87" s="156"/>
      <c r="AD87" s="157"/>
      <c r="AE87" s="161"/>
      <c r="AF87" s="162"/>
      <c r="AG87" s="162"/>
      <c r="AH87" s="163"/>
      <c r="AI87" s="166">
        <f t="shared" si="4"/>
        <v>0</v>
      </c>
      <c r="AJ87" s="167"/>
      <c r="AK87" s="167"/>
      <c r="AL87" s="67" t="s">
        <v>24</v>
      </c>
      <c r="AM87" s="166">
        <f t="shared" si="3"/>
        <v>0</v>
      </c>
      <c r="AN87" s="167"/>
      <c r="AO87" s="167"/>
      <c r="AP87" s="67" t="s">
        <v>24</v>
      </c>
      <c r="AQ87" s="191">
        <f t="shared" si="7"/>
        <v>0</v>
      </c>
      <c r="AR87" s="192"/>
      <c r="AS87" s="192"/>
      <c r="AT87" s="193"/>
      <c r="BD87" s="22" t="str">
        <f t="shared" si="5"/>
        <v>Personal/ Not a UoR salary exchange car0 - 1400 ccPetrol0</v>
      </c>
      <c r="BE87" s="62"/>
      <c r="BF87" s="62"/>
      <c r="BG87" s="62"/>
    </row>
    <row r="88" spans="2:59" s="22" customFormat="1" ht="21.6" customHeight="1">
      <c r="B88" s="152"/>
      <c r="C88" s="153"/>
      <c r="D88" s="153"/>
      <c r="E88" s="154"/>
      <c r="F88" s="190"/>
      <c r="G88" s="156"/>
      <c r="H88" s="156"/>
      <c r="I88" s="156"/>
      <c r="J88" s="156"/>
      <c r="K88" s="156"/>
      <c r="L88" s="156"/>
      <c r="M88" s="156"/>
      <c r="N88" s="156"/>
      <c r="O88" s="156"/>
      <c r="P88" s="156"/>
      <c r="Q88" s="156"/>
      <c r="R88" s="156"/>
      <c r="S88" s="156"/>
      <c r="T88" s="156"/>
      <c r="U88" s="156"/>
      <c r="V88" s="156"/>
      <c r="W88" s="156"/>
      <c r="X88" s="156"/>
      <c r="Y88" s="156"/>
      <c r="Z88" s="156"/>
      <c r="AA88" s="156"/>
      <c r="AB88" s="156"/>
      <c r="AC88" s="156"/>
      <c r="AD88" s="157"/>
      <c r="AE88" s="161"/>
      <c r="AF88" s="162"/>
      <c r="AG88" s="162"/>
      <c r="AH88" s="163"/>
      <c r="AI88" s="166">
        <f t="shared" si="4"/>
        <v>0</v>
      </c>
      <c r="AJ88" s="167"/>
      <c r="AK88" s="167"/>
      <c r="AL88" s="67" t="s">
        <v>24</v>
      </c>
      <c r="AM88" s="166">
        <f t="shared" si="3"/>
        <v>0</v>
      </c>
      <c r="AN88" s="167"/>
      <c r="AO88" s="167"/>
      <c r="AP88" s="67" t="s">
        <v>24</v>
      </c>
      <c r="AQ88" s="191">
        <f t="shared" si="7"/>
        <v>0</v>
      </c>
      <c r="AR88" s="192"/>
      <c r="AS88" s="192"/>
      <c r="AT88" s="193"/>
      <c r="BD88" s="22" t="str">
        <f t="shared" si="5"/>
        <v>Personal/ Not a UoR salary exchange car0 - 1400 ccPetrol0</v>
      </c>
      <c r="BE88" s="62"/>
      <c r="BF88" s="62"/>
      <c r="BG88" s="62"/>
    </row>
    <row r="89" spans="2:59" s="22" customFormat="1" ht="21.6" customHeight="1">
      <c r="B89" s="152"/>
      <c r="C89" s="153"/>
      <c r="D89" s="153"/>
      <c r="E89" s="154"/>
      <c r="F89" s="190"/>
      <c r="G89" s="156"/>
      <c r="H89" s="156"/>
      <c r="I89" s="156"/>
      <c r="J89" s="156"/>
      <c r="K89" s="156"/>
      <c r="L89" s="156"/>
      <c r="M89" s="156"/>
      <c r="N89" s="156"/>
      <c r="O89" s="156"/>
      <c r="P89" s="156"/>
      <c r="Q89" s="156"/>
      <c r="R89" s="156"/>
      <c r="S89" s="156"/>
      <c r="T89" s="156"/>
      <c r="U89" s="156"/>
      <c r="V89" s="156"/>
      <c r="W89" s="156"/>
      <c r="X89" s="156"/>
      <c r="Y89" s="156"/>
      <c r="Z89" s="156"/>
      <c r="AA89" s="156"/>
      <c r="AB89" s="156"/>
      <c r="AC89" s="156"/>
      <c r="AD89" s="157"/>
      <c r="AE89" s="161"/>
      <c r="AF89" s="162"/>
      <c r="AG89" s="162"/>
      <c r="AH89" s="163"/>
      <c r="AI89" s="166">
        <f t="shared" si="4"/>
        <v>0</v>
      </c>
      <c r="AJ89" s="167"/>
      <c r="AK89" s="167"/>
      <c r="AL89" s="67" t="s">
        <v>24</v>
      </c>
      <c r="AM89" s="166">
        <f t="shared" si="3"/>
        <v>0</v>
      </c>
      <c r="AN89" s="167"/>
      <c r="AO89" s="167"/>
      <c r="AP89" s="67" t="s">
        <v>24</v>
      </c>
      <c r="AQ89" s="191">
        <f t="shared" si="7"/>
        <v>0</v>
      </c>
      <c r="AR89" s="192"/>
      <c r="AS89" s="192"/>
      <c r="AT89" s="193"/>
      <c r="BD89" s="22" t="str">
        <f t="shared" si="5"/>
        <v>Personal/ Not a UoR salary exchange car0 - 1400 ccPetrol0</v>
      </c>
      <c r="BE89" s="62"/>
      <c r="BF89" s="62"/>
      <c r="BG89" s="62"/>
    </row>
    <row r="90" spans="2:59" s="22" customFormat="1" ht="21.6" customHeight="1">
      <c r="B90" s="152"/>
      <c r="C90" s="153"/>
      <c r="D90" s="153"/>
      <c r="E90" s="154"/>
      <c r="F90" s="190"/>
      <c r="G90" s="156"/>
      <c r="H90" s="156"/>
      <c r="I90" s="156"/>
      <c r="J90" s="156"/>
      <c r="K90" s="156"/>
      <c r="L90" s="156"/>
      <c r="M90" s="156"/>
      <c r="N90" s="156"/>
      <c r="O90" s="156"/>
      <c r="P90" s="156"/>
      <c r="Q90" s="156"/>
      <c r="R90" s="156"/>
      <c r="S90" s="156"/>
      <c r="T90" s="156"/>
      <c r="U90" s="156"/>
      <c r="V90" s="156"/>
      <c r="W90" s="156"/>
      <c r="X90" s="156"/>
      <c r="Y90" s="156"/>
      <c r="Z90" s="156"/>
      <c r="AA90" s="156"/>
      <c r="AB90" s="156"/>
      <c r="AC90" s="156"/>
      <c r="AD90" s="157"/>
      <c r="AE90" s="161"/>
      <c r="AF90" s="162"/>
      <c r="AG90" s="162"/>
      <c r="AH90" s="163"/>
      <c r="AI90" s="166">
        <f t="shared" si="4"/>
        <v>0</v>
      </c>
      <c r="AJ90" s="167"/>
      <c r="AK90" s="167"/>
      <c r="AL90" s="67" t="s">
        <v>24</v>
      </c>
      <c r="AM90" s="166">
        <f t="shared" si="3"/>
        <v>0</v>
      </c>
      <c r="AN90" s="167"/>
      <c r="AO90" s="167"/>
      <c r="AP90" s="67" t="s">
        <v>24</v>
      </c>
      <c r="AQ90" s="191">
        <f t="shared" si="6"/>
        <v>0</v>
      </c>
      <c r="AR90" s="192"/>
      <c r="AS90" s="192"/>
      <c r="AT90" s="193"/>
      <c r="BD90" s="22" t="str">
        <f t="shared" si="5"/>
        <v>Personal/ Not a UoR salary exchange car0 - 1400 ccPetrol0</v>
      </c>
      <c r="BE90" s="62"/>
      <c r="BF90" s="62"/>
      <c r="BG90" s="62"/>
    </row>
    <row r="91" spans="2:59" s="22" customFormat="1" ht="21.6" customHeight="1">
      <c r="B91" s="414" t="s">
        <v>94</v>
      </c>
      <c r="C91" s="414"/>
      <c r="D91" s="414"/>
      <c r="E91" s="414"/>
      <c r="F91" s="414"/>
      <c r="G91" s="414"/>
      <c r="H91" s="414"/>
      <c r="I91" s="414"/>
      <c r="J91" s="414"/>
      <c r="K91" s="414"/>
      <c r="L91" s="414"/>
      <c r="M91" s="414"/>
      <c r="N91" s="414"/>
      <c r="O91" s="414"/>
      <c r="P91" s="414"/>
      <c r="Q91" s="414"/>
      <c r="R91" s="414"/>
      <c r="S91" s="414"/>
      <c r="T91" s="414"/>
      <c r="U91" s="414"/>
      <c r="V91" s="414"/>
      <c r="W91" s="414"/>
      <c r="X91" s="414"/>
      <c r="Y91" s="414"/>
      <c r="Z91" s="414"/>
      <c r="AA91" s="414"/>
      <c r="AB91" s="414"/>
      <c r="AC91" s="414"/>
      <c r="AD91" s="414"/>
      <c r="AE91" s="204" t="s">
        <v>93</v>
      </c>
      <c r="AF91" s="204"/>
      <c r="AG91" s="204"/>
      <c r="AH91" s="204"/>
      <c r="AI91" s="205"/>
      <c r="AJ91" s="205"/>
      <c r="AK91" s="205"/>
      <c r="AL91" s="205"/>
      <c r="AM91" s="205"/>
      <c r="AN91" s="205"/>
      <c r="AO91" s="205"/>
      <c r="AP91" s="205"/>
      <c r="AQ91" s="206"/>
      <c r="AR91" s="206"/>
      <c r="AS91" s="206"/>
      <c r="AT91" s="206"/>
      <c r="BE91" s="62"/>
      <c r="BF91" s="62"/>
      <c r="BG91" s="62"/>
    </row>
    <row r="92" spans="2:59" s="22" customFormat="1" ht="21.6" customHeight="1">
      <c r="B92" s="207"/>
      <c r="C92" s="208"/>
      <c r="D92" s="208"/>
      <c r="E92" s="209"/>
      <c r="F92" s="210" t="str">
        <f>IF(AA73="Motorcycle","Not available for motorcycle journeys"," ")</f>
        <v xml:space="preserve"> </v>
      </c>
      <c r="G92" s="211"/>
      <c r="H92" s="211"/>
      <c r="I92" s="211"/>
      <c r="J92" s="211"/>
      <c r="K92" s="211"/>
      <c r="L92" s="211"/>
      <c r="M92" s="211"/>
      <c r="N92" s="211"/>
      <c r="O92" s="211"/>
      <c r="P92" s="211"/>
      <c r="Q92" s="211"/>
      <c r="R92" s="211"/>
      <c r="S92" s="211"/>
      <c r="T92" s="211"/>
      <c r="U92" s="211"/>
      <c r="V92" s="211"/>
      <c r="W92" s="211"/>
      <c r="X92" s="211"/>
      <c r="Y92" s="211"/>
      <c r="Z92" s="211"/>
      <c r="AA92" s="211"/>
      <c r="AB92" s="211"/>
      <c r="AC92" s="211"/>
      <c r="AD92" s="212"/>
      <c r="AE92" s="213"/>
      <c r="AF92" s="214"/>
      <c r="AG92" s="214"/>
      <c r="AH92" s="215"/>
      <c r="AI92" s="164">
        <f>IF(OR(AE92=0,$AA$13="Motorcycle"),0,'Mileage rates and intercampus '!$E$20)</f>
        <v>0</v>
      </c>
      <c r="AJ92" s="165"/>
      <c r="AK92" s="165"/>
      <c r="AL92" s="68" t="s">
        <v>24</v>
      </c>
      <c r="AM92" s="164">
        <f>AI92</f>
        <v>0</v>
      </c>
      <c r="AN92" s="165"/>
      <c r="AO92" s="165"/>
      <c r="AP92" s="68" t="s">
        <v>24</v>
      </c>
      <c r="AQ92" s="149">
        <f t="shared" ref="AQ92:AQ95" si="8">IF(AE92=0,0,IF(AE92&lt;71,AE92*AI92/100,IF(AE92&gt;70,70*(AI92/100)+(AE92-70)*AM92/100)))</f>
        <v>0</v>
      </c>
      <c r="AR92" s="150"/>
      <c r="AS92" s="150"/>
      <c r="AT92" s="151"/>
      <c r="BD92" s="22" t="str">
        <f t="shared" si="5"/>
        <v>Personal/ Not a UoR salary exchange car0 - 1400 ccPetrol0</v>
      </c>
      <c r="BE92" s="62"/>
      <c r="BF92" s="62"/>
      <c r="BG92" s="62"/>
    </row>
    <row r="93" spans="2:59" s="22" customFormat="1" ht="21.6" customHeight="1">
      <c r="B93" s="152"/>
      <c r="C93" s="153"/>
      <c r="D93" s="153"/>
      <c r="E93" s="154"/>
      <c r="F93" s="155" t="str">
        <f>IF(AA74="Motorcycle","Not available for motorcycle journeys"," ")</f>
        <v xml:space="preserve"> </v>
      </c>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7"/>
      <c r="AE93" s="161"/>
      <c r="AF93" s="162"/>
      <c r="AG93" s="162"/>
      <c r="AH93" s="163"/>
      <c r="AI93" s="164">
        <f>IF(OR(AE93=0,$AA$13="Motorcycle"),0,'Mileage rates and intercampus '!$E$20)</f>
        <v>0</v>
      </c>
      <c r="AJ93" s="165"/>
      <c r="AK93" s="165"/>
      <c r="AL93" s="68" t="s">
        <v>24</v>
      </c>
      <c r="AM93" s="164">
        <f>AI93</f>
        <v>0</v>
      </c>
      <c r="AN93" s="165"/>
      <c r="AO93" s="165"/>
      <c r="AP93" s="68" t="s">
        <v>24</v>
      </c>
      <c r="AQ93" s="149">
        <f t="shared" ref="AQ93:AQ94" si="9">IF(AE93=0,0,IF(AE93&lt;71,AE93*AI93/100,IF(AE93&gt;70,70*(AI93/100)+(AE93-70)*AM93/100)))</f>
        <v>0</v>
      </c>
      <c r="AR93" s="150"/>
      <c r="AS93" s="150"/>
      <c r="AT93" s="151"/>
      <c r="BD93" s="22" t="str">
        <f t="shared" si="5"/>
        <v>Personal/ Not a UoR salary exchange car0 - 1400 ccPetrol0</v>
      </c>
      <c r="BE93" s="62"/>
      <c r="BF93" s="62"/>
      <c r="BG93" s="62"/>
    </row>
    <row r="94" spans="2:59" s="22" customFormat="1" ht="21.6" customHeight="1">
      <c r="B94" s="152"/>
      <c r="C94" s="153"/>
      <c r="D94" s="153"/>
      <c r="E94" s="154"/>
      <c r="F94" s="155" t="str">
        <f>IF(AA75="Motorcycle","Not available for motorcycle journeys"," ")</f>
        <v xml:space="preserve"> </v>
      </c>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7"/>
      <c r="AE94" s="161"/>
      <c r="AF94" s="162"/>
      <c r="AG94" s="162"/>
      <c r="AH94" s="163"/>
      <c r="AI94" s="164">
        <f>IF(OR(AE94=0,$AA$13="Motorcycle"),0,'Mileage rates and intercampus '!$E$20)</f>
        <v>0</v>
      </c>
      <c r="AJ94" s="165"/>
      <c r="AK94" s="165"/>
      <c r="AL94" s="68" t="s">
        <v>24</v>
      </c>
      <c r="AM94" s="164">
        <f>AI94</f>
        <v>0</v>
      </c>
      <c r="AN94" s="165"/>
      <c r="AO94" s="165"/>
      <c r="AP94" s="68" t="s">
        <v>24</v>
      </c>
      <c r="AQ94" s="149">
        <f t="shared" si="9"/>
        <v>0</v>
      </c>
      <c r="AR94" s="150"/>
      <c r="AS94" s="150"/>
      <c r="AT94" s="151"/>
      <c r="BD94" s="22" t="str">
        <f t="shared" si="5"/>
        <v>Personal/ Not a UoR salary exchange car0 - 1400 ccPetrol0</v>
      </c>
      <c r="BE94" s="62"/>
      <c r="BF94" s="62"/>
      <c r="BG94" s="62"/>
    </row>
    <row r="95" spans="2:59" s="22" customFormat="1" ht="21.6" customHeight="1">
      <c r="B95" s="152"/>
      <c r="C95" s="153"/>
      <c r="D95" s="153"/>
      <c r="E95" s="154"/>
      <c r="F95" s="155" t="str">
        <f>IF(AA73="Motorcycle","Not available for motorcycle journeys"," ")</f>
        <v xml:space="preserve"> </v>
      </c>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7"/>
      <c r="AE95" s="161"/>
      <c r="AF95" s="162"/>
      <c r="AG95" s="162"/>
      <c r="AH95" s="163"/>
      <c r="AI95" s="164">
        <f>IF(OR(AE95=0,$AA$13="Motorcycle"),0,'Mileage rates and intercampus '!$E$20)</f>
        <v>0</v>
      </c>
      <c r="AJ95" s="165"/>
      <c r="AK95" s="165"/>
      <c r="AL95" s="67" t="s">
        <v>24</v>
      </c>
      <c r="AM95" s="164">
        <f>AI95</f>
        <v>0</v>
      </c>
      <c r="AN95" s="165"/>
      <c r="AO95" s="165"/>
      <c r="AP95" s="67" t="s">
        <v>24</v>
      </c>
      <c r="AQ95" s="194">
        <f t="shared" si="8"/>
        <v>0</v>
      </c>
      <c r="AR95" s="195"/>
      <c r="AS95" s="195"/>
      <c r="AT95" s="196"/>
      <c r="BD95" s="22" t="str">
        <f t="shared" si="5"/>
        <v>Personal/ Not a UoR salary exchange car0 - 1400 ccPetrol0</v>
      </c>
      <c r="BE95" s="62"/>
      <c r="BF95" s="62"/>
      <c r="BG95" s="62"/>
    </row>
    <row r="96" spans="2:59" s="22" customFormat="1" ht="21.6" customHeight="1">
      <c r="B96" s="69"/>
      <c r="C96" s="70"/>
      <c r="D96" s="70"/>
      <c r="E96" s="70"/>
      <c r="F96" s="70"/>
      <c r="G96" s="70"/>
      <c r="H96" s="70"/>
      <c r="I96" s="70"/>
      <c r="J96" s="70"/>
      <c r="K96" s="70"/>
      <c r="L96" s="70"/>
      <c r="M96" s="70"/>
      <c r="N96" s="70"/>
      <c r="O96" s="70"/>
      <c r="P96" s="70"/>
      <c r="Q96" s="70"/>
      <c r="R96" s="70"/>
      <c r="S96" s="70"/>
      <c r="T96" s="70"/>
      <c r="U96" s="70"/>
      <c r="V96" s="70"/>
      <c r="W96" s="197" t="s">
        <v>99</v>
      </c>
      <c r="X96" s="197"/>
      <c r="Y96" s="197"/>
      <c r="Z96" s="197"/>
      <c r="AA96" s="197"/>
      <c r="AB96" s="197"/>
      <c r="AC96" s="197"/>
      <c r="AD96" s="198"/>
      <c r="AE96" s="199">
        <f>SUM(AE77:AH90)</f>
        <v>0</v>
      </c>
      <c r="AF96" s="200"/>
      <c r="AG96" s="200"/>
      <c r="AH96" s="201"/>
      <c r="AI96" s="197" t="s">
        <v>43</v>
      </c>
      <c r="AJ96" s="197"/>
      <c r="AK96" s="197"/>
      <c r="AL96" s="197"/>
      <c r="AM96" s="197"/>
      <c r="AN96" s="197"/>
      <c r="AO96" s="197"/>
      <c r="AP96" s="198"/>
      <c r="AQ96" s="202">
        <f>SUM(AQ77:AT95)</f>
        <v>0</v>
      </c>
      <c r="AR96" s="167"/>
      <c r="AS96" s="167"/>
      <c r="AT96" s="203"/>
      <c r="BE96" s="62"/>
      <c r="BF96" s="62"/>
      <c r="BG96" s="62"/>
    </row>
    <row r="97" spans="2:66" s="22" customFormat="1" ht="21.6" customHeight="1">
      <c r="B97" s="72"/>
      <c r="C97" s="72"/>
      <c r="D97" s="72"/>
      <c r="E97" s="72"/>
      <c r="F97" s="72"/>
      <c r="G97" s="72"/>
      <c r="H97" s="72"/>
      <c r="I97" s="72"/>
      <c r="J97" s="72"/>
      <c r="K97" s="72"/>
      <c r="L97" s="72"/>
      <c r="M97" s="72"/>
      <c r="N97" s="72"/>
      <c r="O97" s="72"/>
      <c r="P97" s="72"/>
      <c r="Q97" s="72"/>
      <c r="R97" s="72"/>
      <c r="S97" s="72"/>
      <c r="T97" s="72"/>
      <c r="U97" s="72"/>
      <c r="V97" s="72"/>
      <c r="W97" s="100"/>
      <c r="X97" s="100"/>
      <c r="Y97" s="100"/>
      <c r="Z97" s="100"/>
      <c r="AA97" s="100"/>
      <c r="AB97" s="100"/>
      <c r="AC97" s="100"/>
      <c r="AD97" s="100"/>
      <c r="AE97" s="101"/>
      <c r="AF97" s="102"/>
      <c r="AG97" s="102"/>
      <c r="AH97" s="102"/>
      <c r="AI97" s="100"/>
      <c r="AJ97" s="100"/>
      <c r="AK97" s="100"/>
      <c r="AL97" s="100"/>
      <c r="AM97" s="100"/>
      <c r="AN97" s="100"/>
      <c r="AO97" s="100"/>
      <c r="AP97" s="100"/>
      <c r="AQ97" s="103"/>
      <c r="AR97" s="104"/>
      <c r="AS97" s="104"/>
      <c r="AT97" s="104"/>
      <c r="BE97" s="63"/>
      <c r="BF97" s="63"/>
      <c r="BG97" s="63"/>
    </row>
    <row r="98" spans="2:66" s="22" customFormat="1" ht="21.6" customHeight="1">
      <c r="B98" s="105" t="s">
        <v>123</v>
      </c>
      <c r="C98" s="105"/>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BE98" s="63"/>
      <c r="BF98" s="63"/>
      <c r="BG98" s="63"/>
      <c r="BH98"/>
      <c r="BI98"/>
      <c r="BJ98"/>
      <c r="BK98"/>
      <c r="BL98"/>
      <c r="BM98"/>
      <c r="BN98"/>
    </row>
    <row r="99" spans="2:66" s="22" customFormat="1" ht="21.6" customHeight="1">
      <c r="B99" s="123"/>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24"/>
      <c r="AD99" s="124"/>
      <c r="AE99" s="124"/>
      <c r="AF99" s="124"/>
      <c r="AG99" s="124"/>
      <c r="AH99" s="124"/>
      <c r="AI99" s="124"/>
      <c r="AJ99" s="124"/>
      <c r="AK99" s="124"/>
      <c r="AL99" s="124"/>
      <c r="AM99" s="124"/>
      <c r="AN99" s="124"/>
      <c r="AO99" s="124"/>
      <c r="AP99" s="124"/>
      <c r="AQ99" s="124"/>
      <c r="AR99" s="124"/>
      <c r="AS99" s="124"/>
      <c r="AT99" s="125"/>
      <c r="BE99" s="63"/>
      <c r="BF99" s="63"/>
      <c r="BG99" s="63"/>
      <c r="BH99"/>
      <c r="BI99"/>
      <c r="BJ99"/>
      <c r="BK99"/>
      <c r="BL99"/>
      <c r="BM99"/>
      <c r="BN99"/>
    </row>
    <row r="100" spans="2:66" s="22" customFormat="1" ht="21.6" customHeight="1">
      <c r="B100" s="126"/>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c r="AA100" s="127"/>
      <c r="AB100" s="127"/>
      <c r="AC100" s="127"/>
      <c r="AD100" s="127"/>
      <c r="AE100" s="127"/>
      <c r="AF100" s="127"/>
      <c r="AG100" s="127"/>
      <c r="AH100" s="127"/>
      <c r="AI100" s="127"/>
      <c r="AJ100" s="127"/>
      <c r="AK100" s="127"/>
      <c r="AL100" s="127"/>
      <c r="AM100" s="127"/>
      <c r="AN100" s="127"/>
      <c r="AO100" s="127"/>
      <c r="AP100" s="127"/>
      <c r="AQ100" s="127"/>
      <c r="AR100" s="127"/>
      <c r="AS100" s="127"/>
      <c r="AT100" s="128"/>
      <c r="BE100" s="63"/>
      <c r="BF100" s="63"/>
      <c r="BG100" s="63"/>
      <c r="BH100"/>
      <c r="BI100"/>
      <c r="BJ100"/>
      <c r="BK100"/>
      <c r="BL100"/>
      <c r="BM100"/>
      <c r="BN100"/>
    </row>
    <row r="101" spans="2:66" s="22" customFormat="1" ht="21.6" customHeight="1">
      <c r="B101" s="105" t="s">
        <v>125</v>
      </c>
      <c r="C101" s="105"/>
      <c r="D101" s="105"/>
      <c r="E101" s="105"/>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BE101" s="63"/>
      <c r="BF101" s="63"/>
      <c r="BG101" s="63"/>
      <c r="BH101"/>
      <c r="BI101"/>
      <c r="BJ101"/>
      <c r="BK101"/>
      <c r="BL101"/>
      <c r="BM101"/>
      <c r="BN101"/>
    </row>
    <row r="102" spans="2:66" ht="21.6" customHeight="1">
      <c r="B102" s="123"/>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c r="Z102" s="124"/>
      <c r="AA102" s="124"/>
      <c r="AB102" s="124"/>
      <c r="AC102" s="124"/>
      <c r="AD102" s="124"/>
      <c r="AE102" s="124"/>
      <c r="AF102" s="124"/>
      <c r="AG102" s="124"/>
      <c r="AH102" s="124"/>
      <c r="AI102" s="124"/>
      <c r="AJ102" s="124"/>
      <c r="AK102" s="124"/>
      <c r="AL102" s="124"/>
      <c r="AM102" s="124"/>
      <c r="AN102" s="124"/>
      <c r="AO102" s="124"/>
      <c r="AP102" s="124"/>
      <c r="AQ102" s="124"/>
      <c r="AR102" s="124"/>
      <c r="AS102" s="124"/>
      <c r="AT102" s="125"/>
    </row>
    <row r="103" spans="2:66" ht="21.6" customHeight="1">
      <c r="B103" s="129"/>
      <c r="C103" s="130"/>
      <c r="D103" s="130"/>
      <c r="E103" s="130"/>
      <c r="F103" s="130"/>
      <c r="G103" s="130"/>
      <c r="H103" s="130"/>
      <c r="I103" s="130"/>
      <c r="J103" s="130"/>
      <c r="K103" s="130"/>
      <c r="L103" s="130"/>
      <c r="M103" s="130"/>
      <c r="N103" s="130"/>
      <c r="O103" s="130"/>
      <c r="P103" s="130"/>
      <c r="Q103" s="130"/>
      <c r="R103" s="130"/>
      <c r="S103" s="130"/>
      <c r="T103" s="130"/>
      <c r="U103" s="130"/>
      <c r="V103" s="130"/>
      <c r="W103" s="130"/>
      <c r="X103" s="130"/>
      <c r="Y103" s="130"/>
      <c r="Z103" s="130"/>
      <c r="AA103" s="130"/>
      <c r="AB103" s="130"/>
      <c r="AC103" s="130"/>
      <c r="AD103" s="130"/>
      <c r="AE103" s="130"/>
      <c r="AF103" s="130"/>
      <c r="AG103" s="130"/>
      <c r="AH103" s="130"/>
      <c r="AI103" s="130"/>
      <c r="AJ103" s="130"/>
      <c r="AK103" s="130"/>
      <c r="AL103" s="130"/>
      <c r="AM103" s="130"/>
      <c r="AN103" s="130"/>
      <c r="AO103" s="130"/>
      <c r="AP103" s="130"/>
      <c r="AQ103" s="130"/>
      <c r="AR103" s="130"/>
      <c r="AS103" s="130"/>
      <c r="AT103" s="131"/>
    </row>
    <row r="104" spans="2:66" ht="21.6" customHeight="1">
      <c r="B104" s="126"/>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c r="AA104" s="127"/>
      <c r="AB104" s="127"/>
      <c r="AC104" s="127"/>
      <c r="AD104" s="127"/>
      <c r="AE104" s="127"/>
      <c r="AF104" s="127"/>
      <c r="AG104" s="127"/>
      <c r="AH104" s="127"/>
      <c r="AI104" s="127"/>
      <c r="AJ104" s="127"/>
      <c r="AK104" s="127"/>
      <c r="AL104" s="127"/>
      <c r="AM104" s="127"/>
      <c r="AN104" s="127"/>
      <c r="AO104" s="127"/>
      <c r="AP104" s="127"/>
      <c r="AQ104" s="127"/>
      <c r="AR104" s="127"/>
      <c r="AS104" s="127"/>
      <c r="AT104" s="128"/>
    </row>
    <row r="105" spans="2:66" ht="21.6" customHeight="1">
      <c r="B105" s="105"/>
      <c r="C105" s="105"/>
      <c r="D105" s="105"/>
      <c r="E105" s="105"/>
      <c r="F105" s="105"/>
      <c r="G105" s="105"/>
      <c r="H105" s="105"/>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row>
  </sheetData>
  <sheetProtection algorithmName="SHA-512" hashValue="KlNJaDwmqhMVASQsvqAIrUBnQg96E5DdrkKrNjRZ6tJDSKftWbGuV3HFVXj/l9dCiIrgy+mb3f86+72Upr9RWw==" saltValue="MAwRZuxH1GBHHvOaJm1VjA==" spinCount="100000" sheet="1" objects="1" scenarios="1" selectLockedCells="1"/>
  <mergeCells count="399">
    <mergeCell ref="AA63:AE63"/>
    <mergeCell ref="AF63:AT63"/>
    <mergeCell ref="AA64:AE64"/>
    <mergeCell ref="B59:Y61"/>
    <mergeCell ref="G62:Y62"/>
    <mergeCell ref="B64:K64"/>
    <mergeCell ref="E54:H54"/>
    <mergeCell ref="J54:P54"/>
    <mergeCell ref="B91:AD91"/>
    <mergeCell ref="AQ57:AT57"/>
    <mergeCell ref="AB57:AP57"/>
    <mergeCell ref="AB55:AE55"/>
    <mergeCell ref="AG55:AJ55"/>
    <mergeCell ref="E55:H55"/>
    <mergeCell ref="J55:P55"/>
    <mergeCell ref="AL55:AO55"/>
    <mergeCell ref="AQ55:AT55"/>
    <mergeCell ref="B56:AT56"/>
    <mergeCell ref="R55:Z55"/>
    <mergeCell ref="B62:F62"/>
    <mergeCell ref="M58:Q58"/>
    <mergeCell ref="AA59:AT61"/>
    <mergeCell ref="AA62:AE62"/>
    <mergeCell ref="AF62:AT62"/>
    <mergeCell ref="R53:Z53"/>
    <mergeCell ref="AM22:AO22"/>
    <mergeCell ref="AQ22:AT22"/>
    <mergeCell ref="R54:Z54"/>
    <mergeCell ref="AB54:AE54"/>
    <mergeCell ref="AG54:AJ54"/>
    <mergeCell ref="AL54:AO54"/>
    <mergeCell ref="AQ54:AT54"/>
    <mergeCell ref="AQ52:AT52"/>
    <mergeCell ref="AQ48:AT48"/>
    <mergeCell ref="AB49:AE49"/>
    <mergeCell ref="AQ42:AT42"/>
    <mergeCell ref="AM42:AP42"/>
    <mergeCell ref="AQ43:AT43"/>
    <mergeCell ref="B44:V44"/>
    <mergeCell ref="W44:AH44"/>
    <mergeCell ref="AQ44:AT44"/>
    <mergeCell ref="E51:H51"/>
    <mergeCell ref="AB51:AE51"/>
    <mergeCell ref="AG51:AJ51"/>
    <mergeCell ref="AL51:AO51"/>
    <mergeCell ref="J51:P51"/>
    <mergeCell ref="E52:H52"/>
    <mergeCell ref="J52:P52"/>
    <mergeCell ref="BD11:BJ11"/>
    <mergeCell ref="AQ53:AT53"/>
    <mergeCell ref="AB50:AE50"/>
    <mergeCell ref="AG50:AJ50"/>
    <mergeCell ref="AL50:AO50"/>
    <mergeCell ref="AQ50:AT50"/>
    <mergeCell ref="R51:Z51"/>
    <mergeCell ref="R49:Z49"/>
    <mergeCell ref="R50:Z50"/>
    <mergeCell ref="AB53:AE53"/>
    <mergeCell ref="AG53:AJ53"/>
    <mergeCell ref="AL53:AO53"/>
    <mergeCell ref="AM18:AO18"/>
    <mergeCell ref="AQ18:AT18"/>
    <mergeCell ref="AQ19:AT19"/>
    <mergeCell ref="B43:AH43"/>
    <mergeCell ref="B41:E41"/>
    <mergeCell ref="AQ41:AT41"/>
    <mergeCell ref="AM41:AP41"/>
    <mergeCell ref="E50:H50"/>
    <mergeCell ref="J50:P50"/>
    <mergeCell ref="AI44:AP44"/>
    <mergeCell ref="B22:E22"/>
    <mergeCell ref="AQ51:AT51"/>
    <mergeCell ref="B21:E21"/>
    <mergeCell ref="F21:AD21"/>
    <mergeCell ref="AE21:AH21"/>
    <mergeCell ref="AI21:AL21"/>
    <mergeCell ref="AM21:AP21"/>
    <mergeCell ref="AQ21:AT21"/>
    <mergeCell ref="J53:P53"/>
    <mergeCell ref="E53:H53"/>
    <mergeCell ref="E48:H48"/>
    <mergeCell ref="J48:P48"/>
    <mergeCell ref="R48:Z48"/>
    <mergeCell ref="AB48:AE48"/>
    <mergeCell ref="AG48:AJ48"/>
    <mergeCell ref="AL48:AO48"/>
    <mergeCell ref="AQ45:AT45"/>
    <mergeCell ref="AQ46:AT46"/>
    <mergeCell ref="AM45:AP45"/>
    <mergeCell ref="AG45:AL45"/>
    <mergeCell ref="AC45:AF45"/>
    <mergeCell ref="B45:AB45"/>
    <mergeCell ref="AG49:AJ49"/>
    <mergeCell ref="F22:AD22"/>
    <mergeCell ref="AE22:AH22"/>
    <mergeCell ref="AI22:AK22"/>
    <mergeCell ref="R52:Z52"/>
    <mergeCell ref="AB52:AE52"/>
    <mergeCell ref="AG52:AJ52"/>
    <mergeCell ref="AL52:AO52"/>
    <mergeCell ref="B30:E30"/>
    <mergeCell ref="B40:E40"/>
    <mergeCell ref="AQ40:AT40"/>
    <mergeCell ref="AM40:AP40"/>
    <mergeCell ref="F40:AL40"/>
    <mergeCell ref="F42:AL42"/>
    <mergeCell ref="F41:AL41"/>
    <mergeCell ref="B42:E42"/>
    <mergeCell ref="B31:E31"/>
    <mergeCell ref="F30:AL30"/>
    <mergeCell ref="AM31:AP31"/>
    <mergeCell ref="AQ31:AT31"/>
    <mergeCell ref="B32:E32"/>
    <mergeCell ref="F32:AL32"/>
    <mergeCell ref="AM32:AP32"/>
    <mergeCell ref="AQ32:AT32"/>
    <mergeCell ref="B33:E33"/>
    <mergeCell ref="F33:AL33"/>
    <mergeCell ref="AM33:AP33"/>
    <mergeCell ref="AQ33:AT33"/>
    <mergeCell ref="B34:E34"/>
    <mergeCell ref="B36:E36"/>
    <mergeCell ref="F36:AL36"/>
    <mergeCell ref="AM36:AP36"/>
    <mergeCell ref="AQ28:AT28"/>
    <mergeCell ref="B29:E29"/>
    <mergeCell ref="AQ29:AT29"/>
    <mergeCell ref="AQ24:AT24"/>
    <mergeCell ref="B25:AT25"/>
    <mergeCell ref="B26:J26"/>
    <mergeCell ref="K26:AT26"/>
    <mergeCell ref="B27:E27"/>
    <mergeCell ref="AQ27:AT27"/>
    <mergeCell ref="AI24:AP24"/>
    <mergeCell ref="F28:AL28"/>
    <mergeCell ref="F29:AL29"/>
    <mergeCell ref="AE24:AH24"/>
    <mergeCell ref="B28:E28"/>
    <mergeCell ref="F27:AD27"/>
    <mergeCell ref="AM27:AP27"/>
    <mergeCell ref="AM28:AP28"/>
    <mergeCell ref="X24:AD24"/>
    <mergeCell ref="B24:W24"/>
    <mergeCell ref="B2:AT2"/>
    <mergeCell ref="B3:AT3"/>
    <mergeCell ref="U5:W5"/>
    <mergeCell ref="X5:AB5"/>
    <mergeCell ref="AL5:AT5"/>
    <mergeCell ref="AC5:AK5"/>
    <mergeCell ref="B9:F9"/>
    <mergeCell ref="G7:Y7"/>
    <mergeCell ref="AL7:AT7"/>
    <mergeCell ref="AL9:AT9"/>
    <mergeCell ref="AF7:AK7"/>
    <mergeCell ref="AF9:AK9"/>
    <mergeCell ref="B5:F5"/>
    <mergeCell ref="G5:T5"/>
    <mergeCell ref="AN4:AT4"/>
    <mergeCell ref="B16:E16"/>
    <mergeCell ref="F16:AD16"/>
    <mergeCell ref="AQ20:AT20"/>
    <mergeCell ref="G9:Y11"/>
    <mergeCell ref="B6:AT6"/>
    <mergeCell ref="B7:F7"/>
    <mergeCell ref="AL11:AT11"/>
    <mergeCell ref="AF11:AK11"/>
    <mergeCell ref="B12:AT12"/>
    <mergeCell ref="B13:S13"/>
    <mergeCell ref="T13:Z13"/>
    <mergeCell ref="AA13:AL13"/>
    <mergeCell ref="AM13:AT13"/>
    <mergeCell ref="AE16:AH16"/>
    <mergeCell ref="AI16:AL16"/>
    <mergeCell ref="AM16:AP16"/>
    <mergeCell ref="AQ16:AT16"/>
    <mergeCell ref="AQ17:AT17"/>
    <mergeCell ref="F20:AD20"/>
    <mergeCell ref="AE20:AH20"/>
    <mergeCell ref="AI20:AK20"/>
    <mergeCell ref="AM20:AO20"/>
    <mergeCell ref="F19:AD19"/>
    <mergeCell ref="AE19:AH19"/>
    <mergeCell ref="AI19:AK19"/>
    <mergeCell ref="AM19:AO19"/>
    <mergeCell ref="B17:E17"/>
    <mergeCell ref="F17:AD17"/>
    <mergeCell ref="AE17:AH17"/>
    <mergeCell ref="AI17:AK17"/>
    <mergeCell ref="AM17:AO17"/>
    <mergeCell ref="B20:E20"/>
    <mergeCell ref="B19:E19"/>
    <mergeCell ref="B18:E18"/>
    <mergeCell ref="F18:AD18"/>
    <mergeCell ref="AE18:AH18"/>
    <mergeCell ref="AI18:AK18"/>
    <mergeCell ref="L64:Y64"/>
    <mergeCell ref="AF64:AT64"/>
    <mergeCell ref="AQ23:AT23"/>
    <mergeCell ref="AQ30:AT30"/>
    <mergeCell ref="AM30:AP30"/>
    <mergeCell ref="E49:H49"/>
    <mergeCell ref="J49:P49"/>
    <mergeCell ref="B46:AP46"/>
    <mergeCell ref="AQ49:AT49"/>
    <mergeCell ref="AL49:AO49"/>
    <mergeCell ref="AM29:AP29"/>
    <mergeCell ref="B23:E23"/>
    <mergeCell ref="F23:AD23"/>
    <mergeCell ref="AE23:AH23"/>
    <mergeCell ref="AI23:AK23"/>
    <mergeCell ref="AM23:AO23"/>
    <mergeCell ref="F34:AL34"/>
    <mergeCell ref="AM34:AP34"/>
    <mergeCell ref="AQ34:AT34"/>
    <mergeCell ref="B35:E35"/>
    <mergeCell ref="F35:AL35"/>
    <mergeCell ref="AM35:AP35"/>
    <mergeCell ref="AQ35:AT35"/>
    <mergeCell ref="B71:AT71"/>
    <mergeCell ref="B67:AT67"/>
    <mergeCell ref="B68:AT68"/>
    <mergeCell ref="B70:F70"/>
    <mergeCell ref="G70:T70"/>
    <mergeCell ref="U70:W70"/>
    <mergeCell ref="X70:AB70"/>
    <mergeCell ref="AC70:AK70"/>
    <mergeCell ref="AL70:AT70"/>
    <mergeCell ref="B72:AT72"/>
    <mergeCell ref="B73:S73"/>
    <mergeCell ref="T73:Z73"/>
    <mergeCell ref="AA73:AL73"/>
    <mergeCell ref="AM73:AT73"/>
    <mergeCell ref="B74:C74"/>
    <mergeCell ref="D74:L74"/>
    <mergeCell ref="M74:N74"/>
    <mergeCell ref="O74:X74"/>
    <mergeCell ref="Y74:AB74"/>
    <mergeCell ref="AC74:AH74"/>
    <mergeCell ref="AI74:AL74"/>
    <mergeCell ref="AM74:AP74"/>
    <mergeCell ref="B75:K75"/>
    <mergeCell ref="L75:N75"/>
    <mergeCell ref="P75:X75"/>
    <mergeCell ref="Y75:AA75"/>
    <mergeCell ref="AB75:AH75"/>
    <mergeCell ref="AI75:AT75"/>
    <mergeCell ref="B76:E76"/>
    <mergeCell ref="F76:AD76"/>
    <mergeCell ref="AE76:AH76"/>
    <mergeCell ref="AI76:AL76"/>
    <mergeCell ref="AM76:AP76"/>
    <mergeCell ref="AQ76:AT76"/>
    <mergeCell ref="B77:E77"/>
    <mergeCell ref="F77:AD77"/>
    <mergeCell ref="AE77:AH77"/>
    <mergeCell ref="AI77:AK77"/>
    <mergeCell ref="AM77:AO77"/>
    <mergeCell ref="AQ77:AT77"/>
    <mergeCell ref="B78:E78"/>
    <mergeCell ref="F78:AD78"/>
    <mergeCell ref="AE78:AH78"/>
    <mergeCell ref="AI78:AK78"/>
    <mergeCell ref="AM78:AO78"/>
    <mergeCell ref="AQ78:AT78"/>
    <mergeCell ref="B79:E79"/>
    <mergeCell ref="F79:AD79"/>
    <mergeCell ref="AE79:AH79"/>
    <mergeCell ref="AI79:AK79"/>
    <mergeCell ref="AM79:AO79"/>
    <mergeCell ref="AQ79:AT79"/>
    <mergeCell ref="B90:E90"/>
    <mergeCell ref="F90:AD90"/>
    <mergeCell ref="AE90:AH90"/>
    <mergeCell ref="AI90:AK90"/>
    <mergeCell ref="AM90:AO90"/>
    <mergeCell ref="AQ90:AT90"/>
    <mergeCell ref="B80:E80"/>
    <mergeCell ref="F80:AD80"/>
    <mergeCell ref="AE80:AH80"/>
    <mergeCell ref="AI80:AK80"/>
    <mergeCell ref="AM80:AO80"/>
    <mergeCell ref="AQ80:AT80"/>
    <mergeCell ref="B81:E81"/>
    <mergeCell ref="F81:AD81"/>
    <mergeCell ref="AE81:AH81"/>
    <mergeCell ref="AI81:AK81"/>
    <mergeCell ref="AM81:AO81"/>
    <mergeCell ref="AQ81:AT81"/>
    <mergeCell ref="AE91:AH91"/>
    <mergeCell ref="AI91:AL91"/>
    <mergeCell ref="AM91:AP91"/>
    <mergeCell ref="AQ91:AT91"/>
    <mergeCell ref="B92:E92"/>
    <mergeCell ref="F92:AD92"/>
    <mergeCell ref="AE92:AH92"/>
    <mergeCell ref="AI92:AK92"/>
    <mergeCell ref="AM92:AO92"/>
    <mergeCell ref="AQ92:AT92"/>
    <mergeCell ref="B95:E95"/>
    <mergeCell ref="F95:AD95"/>
    <mergeCell ref="AE95:AH95"/>
    <mergeCell ref="AI95:AK95"/>
    <mergeCell ref="AM95:AO95"/>
    <mergeCell ref="AQ95:AT95"/>
    <mergeCell ref="W96:AD96"/>
    <mergeCell ref="AE96:AH96"/>
    <mergeCell ref="AI96:AP96"/>
    <mergeCell ref="AQ96:AT96"/>
    <mergeCell ref="B82:E82"/>
    <mergeCell ref="F82:AD82"/>
    <mergeCell ref="AE82:AH82"/>
    <mergeCell ref="AI82:AK82"/>
    <mergeCell ref="AM82:AO82"/>
    <mergeCell ref="AQ82:AT82"/>
    <mergeCell ref="B83:E83"/>
    <mergeCell ref="F83:AD83"/>
    <mergeCell ref="AE83:AH83"/>
    <mergeCell ref="AI83:AK83"/>
    <mergeCell ref="AM83:AO83"/>
    <mergeCell ref="AQ83:AT83"/>
    <mergeCell ref="B84:E84"/>
    <mergeCell ref="F84:AD84"/>
    <mergeCell ref="AE84:AH84"/>
    <mergeCell ref="AI84:AK84"/>
    <mergeCell ref="AM84:AO84"/>
    <mergeCell ref="AQ84:AT84"/>
    <mergeCell ref="B85:E85"/>
    <mergeCell ref="F85:AD85"/>
    <mergeCell ref="AE85:AH85"/>
    <mergeCell ref="AI85:AK85"/>
    <mergeCell ref="AM85:AO85"/>
    <mergeCell ref="AQ85:AT85"/>
    <mergeCell ref="AQ88:AT88"/>
    <mergeCell ref="AE89:AH89"/>
    <mergeCell ref="AI89:AK89"/>
    <mergeCell ref="AM89:AO89"/>
    <mergeCell ref="AQ89:AT89"/>
    <mergeCell ref="B86:E86"/>
    <mergeCell ref="F86:AD86"/>
    <mergeCell ref="AE86:AH86"/>
    <mergeCell ref="AI86:AK86"/>
    <mergeCell ref="AM86:AO86"/>
    <mergeCell ref="AQ86:AT86"/>
    <mergeCell ref="B87:E87"/>
    <mergeCell ref="F87:AD87"/>
    <mergeCell ref="AE87:AH87"/>
    <mergeCell ref="AI87:AK87"/>
    <mergeCell ref="AM87:AO87"/>
    <mergeCell ref="AQ87:AT87"/>
    <mergeCell ref="B89:E89"/>
    <mergeCell ref="F89:AD89"/>
    <mergeCell ref="AM14:AP14"/>
    <mergeCell ref="AI14:AL14"/>
    <mergeCell ref="AC14:AH14"/>
    <mergeCell ref="Y14:AB14"/>
    <mergeCell ref="O14:X14"/>
    <mergeCell ref="M14:N14"/>
    <mergeCell ref="D14:L14"/>
    <mergeCell ref="B14:C14"/>
    <mergeCell ref="B93:E93"/>
    <mergeCell ref="F93:AD93"/>
    <mergeCell ref="AE93:AH93"/>
    <mergeCell ref="AI93:AK93"/>
    <mergeCell ref="AM93:AO93"/>
    <mergeCell ref="B37:E37"/>
    <mergeCell ref="F37:AL37"/>
    <mergeCell ref="AM37:AP37"/>
    <mergeCell ref="B38:E38"/>
    <mergeCell ref="F38:AL38"/>
    <mergeCell ref="AM38:AP38"/>
    <mergeCell ref="B39:E39"/>
    <mergeCell ref="F39:AL39"/>
    <mergeCell ref="AM39:AP39"/>
    <mergeCell ref="B88:E88"/>
    <mergeCell ref="F88:AD88"/>
    <mergeCell ref="B65:AT65"/>
    <mergeCell ref="B69:AK69"/>
    <mergeCell ref="B99:AT100"/>
    <mergeCell ref="B102:AT104"/>
    <mergeCell ref="AI15:AT15"/>
    <mergeCell ref="AB15:AH15"/>
    <mergeCell ref="Y15:AA15"/>
    <mergeCell ref="P15:X15"/>
    <mergeCell ref="L15:N15"/>
    <mergeCell ref="B15:K15"/>
    <mergeCell ref="AQ93:AT93"/>
    <mergeCell ref="B94:E94"/>
    <mergeCell ref="F94:AD94"/>
    <mergeCell ref="AQ36:AT36"/>
    <mergeCell ref="AE94:AH94"/>
    <mergeCell ref="AI94:AK94"/>
    <mergeCell ref="AM94:AO94"/>
    <mergeCell ref="AQ94:AT94"/>
    <mergeCell ref="AQ37:AT37"/>
    <mergeCell ref="AQ38:AT38"/>
    <mergeCell ref="AQ39:AT39"/>
    <mergeCell ref="AE88:AH88"/>
    <mergeCell ref="AI88:AK88"/>
    <mergeCell ref="AM88:AO88"/>
  </mergeCells>
  <conditionalFormatting sqref="G5:T5">
    <cfRule type="cellIs" dxfId="7" priority="12" operator="equal">
      <formula>"For staff and students,"</formula>
    </cfRule>
  </conditionalFormatting>
  <conditionalFormatting sqref="AL9:AT9">
    <cfRule type="cellIs" dxfId="6" priority="3" operator="equal">
      <formula>"your RISIS"</formula>
    </cfRule>
    <cfRule type="cellIs" dxfId="5" priority="11" operator="equal">
      <formula>"your Trent"</formula>
    </cfRule>
  </conditionalFormatting>
  <conditionalFormatting sqref="AL11:AT11">
    <cfRule type="cellIs" dxfId="4" priority="10" operator="equal">
      <formula>"bank details will be used"</formula>
    </cfRule>
  </conditionalFormatting>
  <conditionalFormatting sqref="AL7:AT7">
    <cfRule type="cellIs" dxfId="3" priority="4" operator="equal">
      <formula>"For students"</formula>
    </cfRule>
    <cfRule type="cellIs" dxfId="2" priority="9" operator="equal">
      <formula>"For staff"</formula>
    </cfRule>
  </conditionalFormatting>
  <conditionalFormatting sqref="G70:T70">
    <cfRule type="cellIs" dxfId="1" priority="8" operator="equal">
      <formula>"For staff and students,"</formula>
    </cfRule>
  </conditionalFormatting>
  <conditionalFormatting sqref="AA73:AL73">
    <cfRule type="cellIs" dxfId="0" priority="1" operator="equal">
      <formula>" "</formula>
    </cfRule>
  </conditionalFormatting>
  <dataValidations count="9">
    <dataValidation type="list" allowBlank="1" showInputMessage="1" showErrorMessage="1" sqref="X5">
      <formula1>"member of staff, student, visitor"</formula1>
    </dataValidation>
    <dataValidation type="list" allowBlank="1" showInputMessage="1" showErrorMessage="1" error="Select from the drop down list" sqref="AA73:AL73">
      <formula1>"Personal/ Not a UoR salary exchange car, UoR Salary Exchange car, Motorcycle"</formula1>
    </dataValidation>
    <dataValidation type="list" allowBlank="1" showInputMessage="1" showErrorMessage="1" error="Select from the drop down list" sqref="AM14:AP14 AM74:AP74">
      <formula1>"Petrol, Diesel, LPG"</formula1>
    </dataValidation>
    <dataValidation type="list" allowBlank="1" showInputMessage="1" showErrorMessage="1" error="Select from the drop down list" sqref="AC14:AH14 AC74:AH74">
      <formula1>$BD$3:$BD$6</formula1>
    </dataValidation>
    <dataValidation type="whole" allowBlank="1" showInputMessage="1" showErrorMessage="1" sqref="AE17:AH20 AE22:AH23 AE77:AH90 AE92:AH95">
      <formula1>0</formula1>
      <formula2>1000</formula2>
    </dataValidation>
    <dataValidation type="list" allowBlank="1" showInputMessage="1" showErrorMessage="1" error="Select from the drop down list" sqref="AB49:AE55">
      <formula1>"PP - 20%,PZ -Exempt/Nil"</formula1>
    </dataValidation>
    <dataValidation type="textLength" operator="equal" allowBlank="1" showInputMessage="1" showErrorMessage="1" sqref="J49:P55">
      <formula1>8</formula1>
    </dataValidation>
    <dataValidation type="whole" allowBlank="1" showInputMessage="1" showErrorMessage="1" sqref="E49:H55">
      <formula1>1000</formula1>
      <formula2>9999</formula2>
    </dataValidation>
    <dataValidation allowBlank="1" showInputMessage="1" showErrorMessage="1" error="Select from the drop down list" sqref="AA13:AL13"/>
  </dataValidations>
  <hyperlinks>
    <hyperlink ref="AB75:AH75" r:id="rId1" display="Calculate distance"/>
    <hyperlink ref="AI75:AT75" r:id="rId2" display="Allowable rates and intercampus distances"/>
    <hyperlink ref="AI15:AT15" r:id="rId3" display="Allowable rates and intercampus distances"/>
    <hyperlink ref="AB15:AH15" r:id="rId4" display="Calculate distance"/>
  </hyperlinks>
  <printOptions horizontalCentered="1" verticalCentered="1"/>
  <pageMargins left="0" right="0" top="0" bottom="0" header="0" footer="0"/>
  <pageSetup paperSize="9" scale="83" orientation="portrait" r:id="rId5"/>
  <ignoredErrors>
    <ignoredError sqref="F22:F23" unlockedFormula="1"/>
  </ignoredError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32"/>
  <sheetViews>
    <sheetView workbookViewId="0">
      <selection activeCell="K31" sqref="K31"/>
    </sheetView>
  </sheetViews>
  <sheetFormatPr defaultRowHeight="15"/>
  <cols>
    <col min="1" max="1" width="41.42578125" customWidth="1"/>
    <col min="2" max="2" width="13.140625" customWidth="1"/>
    <col min="3" max="3" width="11.85546875" bestFit="1" customWidth="1"/>
    <col min="4" max="4" width="8.85546875" customWidth="1"/>
    <col min="5" max="5" width="8.140625" customWidth="1"/>
    <col min="6" max="6" width="10.7109375" customWidth="1"/>
    <col min="10" max="10" width="11.28515625" customWidth="1"/>
    <col min="11" max="11" width="7.85546875" customWidth="1"/>
  </cols>
  <sheetData>
    <row r="1" spans="1:20" ht="15.75">
      <c r="A1" s="60" t="s">
        <v>100</v>
      </c>
      <c r="B1" s="426" t="s">
        <v>29</v>
      </c>
      <c r="C1" s="426"/>
      <c r="D1" s="426"/>
      <c r="E1" s="426"/>
      <c r="F1" s="426"/>
      <c r="G1" s="426"/>
      <c r="H1" s="426"/>
      <c r="I1" s="426"/>
      <c r="J1" s="426"/>
      <c r="L1" s="426" t="s">
        <v>30</v>
      </c>
      <c r="M1" s="426"/>
      <c r="N1" s="426"/>
      <c r="O1" s="426"/>
      <c r="P1" s="426"/>
      <c r="Q1" s="426"/>
      <c r="R1" s="426"/>
      <c r="S1" s="426"/>
      <c r="T1" s="426"/>
    </row>
    <row r="2" spans="1:20" ht="45" customHeight="1">
      <c r="A2" s="59" t="s">
        <v>101</v>
      </c>
      <c r="B2" s="427" t="s">
        <v>7</v>
      </c>
      <c r="C2" s="427"/>
      <c r="D2" s="427"/>
      <c r="E2" s="427" t="s">
        <v>28</v>
      </c>
      <c r="F2" s="427"/>
      <c r="G2" s="427"/>
      <c r="H2" s="427" t="s">
        <v>8</v>
      </c>
      <c r="I2" s="427"/>
      <c r="J2" s="427"/>
      <c r="L2" s="427" t="s">
        <v>7</v>
      </c>
      <c r="M2" s="427"/>
      <c r="N2" s="427"/>
      <c r="O2" s="427" t="s">
        <v>28</v>
      </c>
      <c r="P2" s="427"/>
      <c r="Q2" s="427"/>
      <c r="R2" s="427" t="s">
        <v>8</v>
      </c>
      <c r="S2" s="427"/>
      <c r="T2" s="427"/>
    </row>
    <row r="3" spans="1:20">
      <c r="A3" t="s">
        <v>11</v>
      </c>
      <c r="B3" s="7" t="s">
        <v>12</v>
      </c>
      <c r="C3" s="7" t="s">
        <v>13</v>
      </c>
      <c r="D3" s="7" t="s">
        <v>14</v>
      </c>
      <c r="E3" s="7" t="s">
        <v>12</v>
      </c>
      <c r="F3" s="7" t="s">
        <v>13</v>
      </c>
      <c r="G3" s="7" t="s">
        <v>14</v>
      </c>
      <c r="H3" s="7" t="s">
        <v>12</v>
      </c>
      <c r="I3" s="7" t="s">
        <v>13</v>
      </c>
      <c r="J3" s="7" t="s">
        <v>14</v>
      </c>
      <c r="L3" s="7" t="s">
        <v>12</v>
      </c>
      <c r="M3" s="7" t="s">
        <v>13</v>
      </c>
      <c r="N3" s="7" t="s">
        <v>14</v>
      </c>
      <c r="O3" s="7" t="s">
        <v>12</v>
      </c>
      <c r="P3" s="7" t="s">
        <v>13</v>
      </c>
      <c r="Q3" s="7" t="s">
        <v>14</v>
      </c>
      <c r="R3" s="7" t="s">
        <v>12</v>
      </c>
      <c r="S3" s="7" t="s">
        <v>13</v>
      </c>
      <c r="T3" s="7" t="s">
        <v>14</v>
      </c>
    </row>
    <row r="4" spans="1:20">
      <c r="A4" t="s">
        <v>15</v>
      </c>
      <c r="B4" s="117">
        <v>11</v>
      </c>
      <c r="C4" s="117">
        <v>7</v>
      </c>
      <c r="D4" s="117">
        <v>9</v>
      </c>
      <c r="E4" s="17">
        <v>45</v>
      </c>
      <c r="F4" s="17">
        <v>45</v>
      </c>
      <c r="G4" s="17">
        <v>45</v>
      </c>
      <c r="H4" s="17">
        <v>24</v>
      </c>
      <c r="I4" s="17">
        <v>24</v>
      </c>
      <c r="J4" s="17">
        <v>24</v>
      </c>
      <c r="K4" s="5"/>
      <c r="L4" s="17">
        <f>B4</f>
        <v>11</v>
      </c>
      <c r="M4" s="17">
        <f>C4</f>
        <v>7</v>
      </c>
      <c r="N4" s="17">
        <f>D4</f>
        <v>9</v>
      </c>
      <c r="O4" s="17">
        <v>25</v>
      </c>
      <c r="P4" s="17">
        <v>25</v>
      </c>
      <c r="Q4" s="17">
        <v>25</v>
      </c>
      <c r="R4" s="17">
        <v>15</v>
      </c>
      <c r="S4" s="17">
        <v>15</v>
      </c>
      <c r="T4" s="17">
        <v>15</v>
      </c>
    </row>
    <row r="5" spans="1:20">
      <c r="A5" t="s">
        <v>17</v>
      </c>
      <c r="B5" s="117">
        <v>14</v>
      </c>
      <c r="C5" s="117">
        <v>8</v>
      </c>
      <c r="D5" s="117">
        <v>9</v>
      </c>
      <c r="E5" s="17">
        <v>45</v>
      </c>
      <c r="F5" s="17">
        <v>45</v>
      </c>
      <c r="G5" s="17">
        <v>45</v>
      </c>
      <c r="H5" s="17">
        <v>24</v>
      </c>
      <c r="I5" s="17">
        <v>24</v>
      </c>
      <c r="J5" s="17">
        <v>24</v>
      </c>
      <c r="K5" s="5"/>
      <c r="L5" s="17">
        <f>B5</f>
        <v>14</v>
      </c>
      <c r="M5" s="17">
        <f t="shared" ref="M5:M7" si="0">C5</f>
        <v>8</v>
      </c>
      <c r="N5" s="17">
        <f t="shared" ref="N5:N7" si="1">D5</f>
        <v>9</v>
      </c>
      <c r="O5" s="17">
        <v>25</v>
      </c>
      <c r="P5" s="17">
        <v>25</v>
      </c>
      <c r="Q5" s="17">
        <v>25</v>
      </c>
      <c r="R5" s="17">
        <v>15</v>
      </c>
      <c r="S5" s="17">
        <v>15</v>
      </c>
      <c r="T5" s="17">
        <v>15</v>
      </c>
    </row>
    <row r="6" spans="1:20">
      <c r="A6" t="s">
        <v>20</v>
      </c>
      <c r="B6" s="117">
        <v>14</v>
      </c>
      <c r="C6" s="117">
        <v>8</v>
      </c>
      <c r="D6" s="117">
        <v>11</v>
      </c>
      <c r="E6" s="17">
        <v>45</v>
      </c>
      <c r="F6" s="17">
        <v>45</v>
      </c>
      <c r="G6" s="17">
        <v>45</v>
      </c>
      <c r="H6" s="17">
        <v>24</v>
      </c>
      <c r="I6" s="17">
        <v>24</v>
      </c>
      <c r="J6" s="17">
        <v>24</v>
      </c>
      <c r="K6" s="5"/>
      <c r="L6" s="17">
        <f>B6</f>
        <v>14</v>
      </c>
      <c r="M6" s="17">
        <f t="shared" si="0"/>
        <v>8</v>
      </c>
      <c r="N6" s="17">
        <f t="shared" si="1"/>
        <v>11</v>
      </c>
      <c r="O6" s="17">
        <v>25</v>
      </c>
      <c r="P6" s="17">
        <v>25</v>
      </c>
      <c r="Q6" s="17">
        <v>25</v>
      </c>
      <c r="R6" s="17">
        <v>15</v>
      </c>
      <c r="S6" s="17">
        <v>15</v>
      </c>
      <c r="T6" s="17">
        <v>15</v>
      </c>
    </row>
    <row r="7" spans="1:20">
      <c r="A7" t="s">
        <v>21</v>
      </c>
      <c r="B7" s="117">
        <v>22</v>
      </c>
      <c r="C7" s="117">
        <v>13</v>
      </c>
      <c r="D7" s="117">
        <v>13</v>
      </c>
      <c r="E7" s="17">
        <v>45</v>
      </c>
      <c r="F7" s="17">
        <v>45</v>
      </c>
      <c r="G7" s="17">
        <v>45</v>
      </c>
      <c r="H7" s="17">
        <v>24</v>
      </c>
      <c r="I7" s="17">
        <v>24</v>
      </c>
      <c r="J7" s="17">
        <v>24</v>
      </c>
      <c r="K7" s="5"/>
      <c r="L7" s="17">
        <f>B7</f>
        <v>22</v>
      </c>
      <c r="M7" s="17">
        <f t="shared" si="0"/>
        <v>13</v>
      </c>
      <c r="N7" s="17">
        <f t="shared" si="1"/>
        <v>13</v>
      </c>
      <c r="O7" s="17">
        <v>25</v>
      </c>
      <c r="P7" s="17">
        <v>25</v>
      </c>
      <c r="Q7" s="17">
        <v>25</v>
      </c>
      <c r="R7" s="17">
        <v>15</v>
      </c>
      <c r="S7" s="17">
        <v>15</v>
      </c>
      <c r="T7" s="17">
        <v>15</v>
      </c>
    </row>
    <row r="8" spans="1:20">
      <c r="B8" s="4"/>
      <c r="C8" s="4"/>
      <c r="D8" s="4"/>
      <c r="E8" s="4"/>
      <c r="F8" s="4"/>
      <c r="G8" s="4"/>
      <c r="H8" s="4"/>
      <c r="I8" s="4"/>
      <c r="J8" s="4"/>
      <c r="L8" s="4"/>
      <c r="M8" s="4"/>
      <c r="N8" s="4"/>
      <c r="O8" s="4"/>
      <c r="P8" s="4"/>
      <c r="Q8" s="4"/>
      <c r="R8" s="4"/>
      <c r="S8" s="4"/>
      <c r="T8" s="4"/>
    </row>
    <row r="9" spans="1:20">
      <c r="A9" s="59" t="s">
        <v>102</v>
      </c>
      <c r="B9" s="4"/>
      <c r="C9" s="4"/>
      <c r="D9" s="4"/>
      <c r="E9" s="4"/>
      <c r="F9" s="4"/>
      <c r="G9" s="4"/>
      <c r="H9" s="4"/>
      <c r="I9" s="4"/>
      <c r="J9" s="4"/>
      <c r="L9" s="4"/>
      <c r="M9" s="4"/>
      <c r="N9" s="4"/>
      <c r="O9" s="4"/>
      <c r="P9" s="4"/>
      <c r="Q9" s="4"/>
      <c r="R9" s="4"/>
      <c r="S9" s="4"/>
      <c r="T9" s="4"/>
    </row>
    <row r="10" spans="1:20">
      <c r="A10" t="s">
        <v>15</v>
      </c>
      <c r="B10" s="4">
        <f>B4</f>
        <v>11</v>
      </c>
      <c r="C10" s="4">
        <f t="shared" ref="C10:D10" si="2">C4</f>
        <v>7</v>
      </c>
      <c r="D10" s="4">
        <f t="shared" si="2"/>
        <v>9</v>
      </c>
      <c r="E10" s="18">
        <v>25</v>
      </c>
      <c r="F10" s="18">
        <v>25</v>
      </c>
      <c r="G10" s="18">
        <v>25</v>
      </c>
      <c r="H10" s="4">
        <f>H4</f>
        <v>24</v>
      </c>
      <c r="I10" s="4">
        <f t="shared" ref="I10:J10" si="3">I4</f>
        <v>24</v>
      </c>
      <c r="J10" s="4">
        <f t="shared" si="3"/>
        <v>24</v>
      </c>
      <c r="L10" s="4">
        <f>L4</f>
        <v>11</v>
      </c>
      <c r="M10" s="4">
        <f t="shared" ref="M10:N10" si="4">M4</f>
        <v>7</v>
      </c>
      <c r="N10" s="4">
        <f t="shared" si="4"/>
        <v>9</v>
      </c>
      <c r="O10" s="4">
        <f>O4</f>
        <v>25</v>
      </c>
      <c r="P10" s="4">
        <f t="shared" ref="P10:Q10" si="5">P4</f>
        <v>25</v>
      </c>
      <c r="Q10" s="4">
        <f t="shared" si="5"/>
        <v>25</v>
      </c>
      <c r="R10" s="4">
        <f>R4</f>
        <v>15</v>
      </c>
      <c r="S10" s="4">
        <f t="shared" ref="S10:T10" si="6">S4</f>
        <v>15</v>
      </c>
      <c r="T10" s="4">
        <f t="shared" si="6"/>
        <v>15</v>
      </c>
    </row>
    <row r="11" spans="1:20">
      <c r="A11" t="s">
        <v>17</v>
      </c>
      <c r="B11" s="4">
        <f t="shared" ref="B11:D11" si="7">B5</f>
        <v>14</v>
      </c>
      <c r="C11" s="4">
        <f t="shared" si="7"/>
        <v>8</v>
      </c>
      <c r="D11" s="4">
        <f t="shared" si="7"/>
        <v>9</v>
      </c>
      <c r="E11" s="18">
        <v>25</v>
      </c>
      <c r="F11" s="18">
        <v>25</v>
      </c>
      <c r="G11" s="18">
        <v>25</v>
      </c>
      <c r="H11" s="4">
        <f t="shared" ref="H11:J11" si="8">H5</f>
        <v>24</v>
      </c>
      <c r="I11" s="4">
        <f t="shared" si="8"/>
        <v>24</v>
      </c>
      <c r="J11" s="4">
        <f t="shared" si="8"/>
        <v>24</v>
      </c>
      <c r="L11" s="4">
        <f t="shared" ref="L11:Q11" si="9">L5</f>
        <v>14</v>
      </c>
      <c r="M11" s="4">
        <f t="shared" si="9"/>
        <v>8</v>
      </c>
      <c r="N11" s="4">
        <f t="shared" si="9"/>
        <v>9</v>
      </c>
      <c r="O11" s="4">
        <f t="shared" si="9"/>
        <v>25</v>
      </c>
      <c r="P11" s="4">
        <f t="shared" si="9"/>
        <v>25</v>
      </c>
      <c r="Q11" s="4">
        <f t="shared" si="9"/>
        <v>25</v>
      </c>
      <c r="R11" s="4">
        <f t="shared" ref="R11:T11" si="10">R5</f>
        <v>15</v>
      </c>
      <c r="S11" s="4">
        <f t="shared" si="10"/>
        <v>15</v>
      </c>
      <c r="T11" s="4">
        <f t="shared" si="10"/>
        <v>15</v>
      </c>
    </row>
    <row r="12" spans="1:20">
      <c r="A12" t="s">
        <v>20</v>
      </c>
      <c r="B12" s="4">
        <f t="shared" ref="B12:D12" si="11">B6</f>
        <v>14</v>
      </c>
      <c r="C12" s="4">
        <f t="shared" si="11"/>
        <v>8</v>
      </c>
      <c r="D12" s="4">
        <f t="shared" si="11"/>
        <v>11</v>
      </c>
      <c r="E12" s="18">
        <v>25</v>
      </c>
      <c r="F12" s="18">
        <v>25</v>
      </c>
      <c r="G12" s="18">
        <v>25</v>
      </c>
      <c r="H12" s="4">
        <f t="shared" ref="H12:J12" si="12">H6</f>
        <v>24</v>
      </c>
      <c r="I12" s="4">
        <f t="shared" si="12"/>
        <v>24</v>
      </c>
      <c r="J12" s="4">
        <f t="shared" si="12"/>
        <v>24</v>
      </c>
      <c r="L12" s="4">
        <f t="shared" ref="L12:Q12" si="13">L6</f>
        <v>14</v>
      </c>
      <c r="M12" s="4">
        <f t="shared" si="13"/>
        <v>8</v>
      </c>
      <c r="N12" s="4">
        <f t="shared" si="13"/>
        <v>11</v>
      </c>
      <c r="O12" s="4">
        <f t="shared" si="13"/>
        <v>25</v>
      </c>
      <c r="P12" s="4">
        <f t="shared" si="13"/>
        <v>25</v>
      </c>
      <c r="Q12" s="4">
        <f t="shared" si="13"/>
        <v>25</v>
      </c>
      <c r="R12" s="4">
        <f t="shared" ref="R12:T12" si="14">R6</f>
        <v>15</v>
      </c>
      <c r="S12" s="4">
        <f t="shared" si="14"/>
        <v>15</v>
      </c>
      <c r="T12" s="4">
        <f t="shared" si="14"/>
        <v>15</v>
      </c>
    </row>
    <row r="13" spans="1:20">
      <c r="A13" t="s">
        <v>21</v>
      </c>
      <c r="B13" s="4">
        <f t="shared" ref="B13:D13" si="15">B7</f>
        <v>22</v>
      </c>
      <c r="C13" s="4">
        <f t="shared" si="15"/>
        <v>13</v>
      </c>
      <c r="D13" s="4">
        <f t="shared" si="15"/>
        <v>13</v>
      </c>
      <c r="E13" s="18">
        <v>25</v>
      </c>
      <c r="F13" s="18">
        <v>25</v>
      </c>
      <c r="G13" s="18">
        <v>25</v>
      </c>
      <c r="H13" s="4">
        <f t="shared" ref="H13:J13" si="16">H7</f>
        <v>24</v>
      </c>
      <c r="I13" s="4">
        <f t="shared" si="16"/>
        <v>24</v>
      </c>
      <c r="J13" s="4">
        <f t="shared" si="16"/>
        <v>24</v>
      </c>
      <c r="L13" s="4">
        <f t="shared" ref="L13:Q13" si="17">L7</f>
        <v>22</v>
      </c>
      <c r="M13" s="4">
        <f t="shared" si="17"/>
        <v>13</v>
      </c>
      <c r="N13" s="4">
        <f t="shared" si="17"/>
        <v>13</v>
      </c>
      <c r="O13" s="4">
        <f t="shared" si="17"/>
        <v>25</v>
      </c>
      <c r="P13" s="4">
        <f t="shared" si="17"/>
        <v>25</v>
      </c>
      <c r="Q13" s="4">
        <f t="shared" si="17"/>
        <v>25</v>
      </c>
      <c r="R13" s="4">
        <f t="shared" ref="R13:T13" si="18">R7</f>
        <v>15</v>
      </c>
      <c r="S13" s="4">
        <f t="shared" si="18"/>
        <v>15</v>
      </c>
      <c r="T13" s="4">
        <f t="shared" si="18"/>
        <v>15</v>
      </c>
    </row>
    <row r="14" spans="1:20">
      <c r="B14" s="4"/>
      <c r="C14" s="4"/>
      <c r="D14" s="4"/>
      <c r="E14" s="4"/>
      <c r="F14" s="4"/>
      <c r="G14" s="4"/>
      <c r="H14" s="4"/>
      <c r="I14" s="4"/>
      <c r="J14" s="4"/>
      <c r="L14" s="4"/>
      <c r="M14" s="4"/>
      <c r="N14" s="4"/>
      <c r="O14" s="4"/>
      <c r="P14" s="4"/>
      <c r="Q14" s="4"/>
      <c r="R14" s="4"/>
      <c r="S14" s="4"/>
      <c r="T14" s="4"/>
    </row>
    <row r="15" spans="1:20" s="48" customFormat="1" ht="6" customHeight="1">
      <c r="B15" s="49"/>
      <c r="C15" s="49"/>
      <c r="D15" s="49"/>
      <c r="E15" s="49"/>
      <c r="F15" s="49"/>
      <c r="G15" s="49"/>
      <c r="H15" s="49"/>
      <c r="I15" s="49"/>
      <c r="J15" s="49"/>
      <c r="L15" s="49"/>
      <c r="M15" s="49"/>
      <c r="N15" s="49"/>
      <c r="O15" s="49"/>
      <c r="P15" s="49"/>
      <c r="Q15" s="49"/>
      <c r="R15" s="49"/>
      <c r="S15" s="49"/>
      <c r="T15" s="49"/>
    </row>
    <row r="16" spans="1:20">
      <c r="A16" s="59" t="s">
        <v>103</v>
      </c>
      <c r="B16" s="23"/>
      <c r="C16" s="23"/>
      <c r="D16" s="23"/>
      <c r="E16" s="23"/>
      <c r="F16" s="23"/>
      <c r="G16" s="23"/>
      <c r="H16" s="23"/>
      <c r="I16" s="23"/>
      <c r="J16" s="23"/>
      <c r="K16" s="426"/>
      <c r="L16" s="426"/>
      <c r="M16" s="426"/>
      <c r="N16" s="426"/>
      <c r="O16" s="4"/>
      <c r="P16" s="4"/>
      <c r="Q16" s="4"/>
      <c r="R16" s="4"/>
      <c r="S16" s="4"/>
      <c r="T16" s="4"/>
    </row>
    <row r="17" spans="1:18" ht="27" customHeight="1">
      <c r="A17" s="11" t="s">
        <v>34</v>
      </c>
      <c r="B17" s="11" t="s">
        <v>35</v>
      </c>
      <c r="C17" s="11" t="s">
        <v>36</v>
      </c>
      <c r="D17" s="12" t="s">
        <v>37</v>
      </c>
      <c r="E17" s="15" t="s">
        <v>40</v>
      </c>
      <c r="F17" s="28"/>
      <c r="G17" s="28"/>
      <c r="H17" s="28"/>
      <c r="I17" s="28"/>
      <c r="J17" s="28"/>
      <c r="K17" s="9" t="s">
        <v>31</v>
      </c>
      <c r="L17" s="20" t="s">
        <v>30</v>
      </c>
      <c r="M17" s="13"/>
      <c r="N17" s="14"/>
      <c r="R17" s="4"/>
    </row>
    <row r="18" spans="1:18">
      <c r="A18" s="22" t="s">
        <v>27</v>
      </c>
      <c r="B18" s="22" t="s">
        <v>15</v>
      </c>
      <c r="C18" s="22" t="s">
        <v>12</v>
      </c>
      <c r="D18" s="22" t="s">
        <v>38</v>
      </c>
      <c r="E18" s="22" t="str">
        <f>CONCATENATE(A18,B18,C18,D18)</f>
        <v>Personal/ Not a UoR salary exchange car0 - 1400 ccPetrolNo</v>
      </c>
      <c r="F18" s="22"/>
      <c r="G18" s="22"/>
      <c r="H18" s="22"/>
      <c r="I18" s="22"/>
      <c r="J18" s="22"/>
      <c r="K18" s="8">
        <f>E4</f>
        <v>45</v>
      </c>
      <c r="L18" s="8">
        <f>O4</f>
        <v>25</v>
      </c>
    </row>
    <row r="19" spans="1:18">
      <c r="A19" s="22" t="s">
        <v>27</v>
      </c>
      <c r="B19" s="22" t="s">
        <v>15</v>
      </c>
      <c r="C19" s="22" t="s">
        <v>13</v>
      </c>
      <c r="D19" s="22" t="s">
        <v>38</v>
      </c>
      <c r="E19" s="22" t="str">
        <f t="shared" ref="E19:E85" si="19">CONCATENATE(A19,B19,C19,D19)</f>
        <v>Personal/ Not a UoR salary exchange car0 - 1400 ccLPGNo</v>
      </c>
      <c r="F19" s="22"/>
      <c r="G19" s="22"/>
      <c r="H19" s="22"/>
      <c r="I19" s="22"/>
      <c r="J19" s="22"/>
      <c r="K19" s="8">
        <f>F4</f>
        <v>45</v>
      </c>
      <c r="L19" s="8">
        <f>P4</f>
        <v>25</v>
      </c>
    </row>
    <row r="20" spans="1:18">
      <c r="A20" s="22" t="s">
        <v>27</v>
      </c>
      <c r="B20" s="22" t="s">
        <v>15</v>
      </c>
      <c r="C20" s="22" t="s">
        <v>14</v>
      </c>
      <c r="D20" s="22" t="s">
        <v>38</v>
      </c>
      <c r="E20" s="22" t="str">
        <f t="shared" si="19"/>
        <v>Personal/ Not a UoR salary exchange car0 - 1400 ccDieselNo</v>
      </c>
      <c r="F20" s="22"/>
      <c r="G20" s="22"/>
      <c r="H20" s="22"/>
      <c r="I20" s="22"/>
      <c r="J20" s="22"/>
      <c r="K20" s="8">
        <f>G4</f>
        <v>45</v>
      </c>
      <c r="L20" s="8">
        <f>Q4</f>
        <v>25</v>
      </c>
    </row>
    <row r="21" spans="1:18">
      <c r="A21" s="22" t="s">
        <v>27</v>
      </c>
      <c r="B21" s="22" t="s">
        <v>17</v>
      </c>
      <c r="C21" s="22" t="s">
        <v>12</v>
      </c>
      <c r="D21" s="22" t="s">
        <v>38</v>
      </c>
      <c r="E21" s="22" t="str">
        <f t="shared" si="19"/>
        <v>Personal/ Not a UoR salary exchange car1401-1600 ccPetrolNo</v>
      </c>
      <c r="F21" s="22"/>
      <c r="G21" s="22"/>
      <c r="H21" s="22"/>
      <c r="I21" s="22"/>
      <c r="J21" s="22"/>
      <c r="K21" s="8">
        <f>E5</f>
        <v>45</v>
      </c>
      <c r="L21" s="8">
        <f>O5</f>
        <v>25</v>
      </c>
    </row>
    <row r="22" spans="1:18" ht="13.5" customHeight="1">
      <c r="A22" s="22" t="s">
        <v>27</v>
      </c>
      <c r="B22" s="22" t="s">
        <v>17</v>
      </c>
      <c r="C22" s="22" t="s">
        <v>13</v>
      </c>
      <c r="D22" s="22" t="s">
        <v>38</v>
      </c>
      <c r="E22" s="22" t="str">
        <f t="shared" si="19"/>
        <v>Personal/ Not a UoR salary exchange car1401-1600 ccLPGNo</v>
      </c>
      <c r="F22" s="22"/>
      <c r="G22" s="22"/>
      <c r="H22" s="22"/>
      <c r="I22" s="22"/>
      <c r="J22" s="22"/>
      <c r="K22" s="8">
        <f>F5</f>
        <v>45</v>
      </c>
      <c r="L22" s="8">
        <f>P5</f>
        <v>25</v>
      </c>
    </row>
    <row r="23" spans="1:18">
      <c r="A23" s="22" t="s">
        <v>27</v>
      </c>
      <c r="B23" s="22" t="s">
        <v>17</v>
      </c>
      <c r="C23" s="22" t="s">
        <v>14</v>
      </c>
      <c r="D23" s="22" t="s">
        <v>38</v>
      </c>
      <c r="E23" s="22" t="str">
        <f t="shared" si="19"/>
        <v>Personal/ Not a UoR salary exchange car1401-1600 ccDieselNo</v>
      </c>
      <c r="F23" s="22"/>
      <c r="G23" s="22"/>
      <c r="H23" s="22"/>
      <c r="I23" s="22"/>
      <c r="J23" s="22"/>
      <c r="K23" s="8">
        <f>G5</f>
        <v>45</v>
      </c>
      <c r="L23" s="8">
        <f>Q5</f>
        <v>25</v>
      </c>
    </row>
    <row r="24" spans="1:18">
      <c r="A24" s="22" t="s">
        <v>27</v>
      </c>
      <c r="B24" s="22" t="s">
        <v>20</v>
      </c>
      <c r="C24" s="22" t="s">
        <v>12</v>
      </c>
      <c r="D24" s="22" t="s">
        <v>38</v>
      </c>
      <c r="E24" s="22" t="str">
        <f t="shared" si="19"/>
        <v>Personal/ Not a UoR salary exchange car1601-2000 ccPetrolNo</v>
      </c>
      <c r="F24" s="22"/>
      <c r="G24" s="22"/>
      <c r="H24" s="22"/>
      <c r="I24" s="22"/>
      <c r="J24" s="22"/>
      <c r="K24" s="8">
        <f>E6</f>
        <v>45</v>
      </c>
      <c r="L24" s="8">
        <f>O6</f>
        <v>25</v>
      </c>
    </row>
    <row r="25" spans="1:18">
      <c r="A25" s="22" t="s">
        <v>27</v>
      </c>
      <c r="B25" s="22" t="s">
        <v>20</v>
      </c>
      <c r="C25" s="22" t="s">
        <v>13</v>
      </c>
      <c r="D25" s="22" t="s">
        <v>38</v>
      </c>
      <c r="E25" s="22" t="str">
        <f t="shared" si="19"/>
        <v>Personal/ Not a UoR salary exchange car1601-2000 ccLPGNo</v>
      </c>
      <c r="F25" s="22"/>
      <c r="G25" s="22"/>
      <c r="H25" s="22"/>
      <c r="I25" s="22"/>
      <c r="J25" s="22"/>
      <c r="K25" s="8">
        <f>F6</f>
        <v>45</v>
      </c>
      <c r="L25" s="8">
        <f>P6</f>
        <v>25</v>
      </c>
    </row>
    <row r="26" spans="1:18">
      <c r="A26" s="22" t="s">
        <v>27</v>
      </c>
      <c r="B26" s="22" t="s">
        <v>20</v>
      </c>
      <c r="C26" s="22" t="s">
        <v>14</v>
      </c>
      <c r="D26" s="22" t="s">
        <v>38</v>
      </c>
      <c r="E26" s="22" t="str">
        <f t="shared" si="19"/>
        <v>Personal/ Not a UoR salary exchange car1601-2000 ccDieselNo</v>
      </c>
      <c r="F26" s="22"/>
      <c r="G26" s="22"/>
      <c r="H26" s="22"/>
      <c r="I26" s="22"/>
      <c r="J26" s="22"/>
      <c r="K26" s="8">
        <f>G6</f>
        <v>45</v>
      </c>
      <c r="L26" s="8">
        <f>Q6</f>
        <v>25</v>
      </c>
    </row>
    <row r="27" spans="1:18">
      <c r="A27" s="22" t="s">
        <v>27</v>
      </c>
      <c r="B27" s="22" t="s">
        <v>21</v>
      </c>
      <c r="C27" s="22" t="s">
        <v>12</v>
      </c>
      <c r="D27" s="22" t="s">
        <v>38</v>
      </c>
      <c r="E27" s="22" t="str">
        <f t="shared" si="19"/>
        <v>Personal/ Not a UoR salary exchange carover 2000 ccPetrolNo</v>
      </c>
      <c r="F27" s="22"/>
      <c r="G27" s="22"/>
      <c r="H27" s="22"/>
      <c r="I27" s="22"/>
      <c r="J27" s="22"/>
      <c r="K27" s="8">
        <f>E7</f>
        <v>45</v>
      </c>
      <c r="L27" s="8">
        <f>O7</f>
        <v>25</v>
      </c>
    </row>
    <row r="28" spans="1:18">
      <c r="A28" s="22" t="s">
        <v>27</v>
      </c>
      <c r="B28" s="22" t="s">
        <v>21</v>
      </c>
      <c r="C28" s="22" t="s">
        <v>13</v>
      </c>
      <c r="D28" s="22" t="s">
        <v>38</v>
      </c>
      <c r="E28" s="22" t="str">
        <f t="shared" si="19"/>
        <v>Personal/ Not a UoR salary exchange carover 2000 ccLPGNo</v>
      </c>
      <c r="F28" s="22"/>
      <c r="G28" s="22"/>
      <c r="H28" s="22"/>
      <c r="I28" s="22"/>
      <c r="J28" s="22"/>
      <c r="K28" s="8">
        <f>F6</f>
        <v>45</v>
      </c>
      <c r="L28" s="8">
        <f>P7</f>
        <v>25</v>
      </c>
    </row>
    <row r="29" spans="1:18">
      <c r="A29" s="22" t="s">
        <v>27</v>
      </c>
      <c r="B29" s="22" t="s">
        <v>21</v>
      </c>
      <c r="C29" s="22" t="s">
        <v>14</v>
      </c>
      <c r="D29" s="22" t="s">
        <v>38</v>
      </c>
      <c r="E29" s="22" t="str">
        <f t="shared" si="19"/>
        <v>Personal/ Not a UoR salary exchange carover 2000 ccDieselNo</v>
      </c>
      <c r="F29" s="22"/>
      <c r="G29" s="22"/>
      <c r="H29" s="22"/>
      <c r="I29" s="22"/>
      <c r="J29" s="22"/>
      <c r="K29" s="8">
        <f>G6</f>
        <v>45</v>
      </c>
      <c r="L29" s="8">
        <f>Q7</f>
        <v>25</v>
      </c>
    </row>
    <row r="30" spans="1:18" s="22" customFormat="1">
      <c r="A30" s="52" t="s">
        <v>27</v>
      </c>
      <c r="B30" s="52"/>
      <c r="C30" s="52"/>
      <c r="D30" s="52" t="s">
        <v>38</v>
      </c>
      <c r="E30" s="52" t="str">
        <f t="shared" si="19"/>
        <v>Personal/ Not a UoR salary exchange carNo</v>
      </c>
      <c r="F30" s="52"/>
      <c r="G30" s="52"/>
      <c r="H30" s="52"/>
      <c r="I30" s="52"/>
      <c r="J30" s="52"/>
      <c r="K30" s="53">
        <f>K18</f>
        <v>45</v>
      </c>
      <c r="L30" s="53">
        <f>L18</f>
        <v>25</v>
      </c>
      <c r="M30" s="22" t="s">
        <v>92</v>
      </c>
    </row>
    <row r="31" spans="1:18">
      <c r="A31" s="22" t="s">
        <v>32</v>
      </c>
      <c r="B31" s="22" t="s">
        <v>15</v>
      </c>
      <c r="C31" s="22" t="s">
        <v>12</v>
      </c>
      <c r="D31" s="22" t="s">
        <v>38</v>
      </c>
      <c r="E31" s="22" t="str">
        <f t="shared" si="19"/>
        <v>UoR salary exchange car0 - 1400 ccPetrolNo</v>
      </c>
      <c r="F31" s="22"/>
      <c r="G31" s="22"/>
      <c r="H31" s="22"/>
      <c r="I31" s="22"/>
      <c r="J31" s="22"/>
      <c r="K31" s="8">
        <f>B4</f>
        <v>11</v>
      </c>
      <c r="L31" s="8">
        <f>L4</f>
        <v>11</v>
      </c>
    </row>
    <row r="32" spans="1:18">
      <c r="A32" s="22" t="s">
        <v>32</v>
      </c>
      <c r="B32" s="22" t="s">
        <v>15</v>
      </c>
      <c r="C32" s="22" t="s">
        <v>13</v>
      </c>
      <c r="D32" s="22" t="s">
        <v>38</v>
      </c>
      <c r="E32" s="22" t="str">
        <f t="shared" si="19"/>
        <v>UoR salary exchange car0 - 1400 ccLPGNo</v>
      </c>
      <c r="F32" s="22"/>
      <c r="G32" s="22"/>
      <c r="H32" s="22"/>
      <c r="I32" s="22"/>
      <c r="J32" s="22"/>
      <c r="K32" s="8">
        <f>C4</f>
        <v>7</v>
      </c>
      <c r="L32" s="8">
        <f>M4</f>
        <v>7</v>
      </c>
    </row>
    <row r="33" spans="1:12">
      <c r="A33" s="22" t="s">
        <v>32</v>
      </c>
      <c r="B33" s="22" t="s">
        <v>15</v>
      </c>
      <c r="C33" s="22" t="s">
        <v>14</v>
      </c>
      <c r="D33" s="22" t="s">
        <v>38</v>
      </c>
      <c r="E33" s="22" t="str">
        <f t="shared" si="19"/>
        <v>UoR salary exchange car0 - 1400 ccDieselNo</v>
      </c>
      <c r="F33" s="22"/>
      <c r="G33" s="22"/>
      <c r="H33" s="22"/>
      <c r="I33" s="22"/>
      <c r="J33" s="22"/>
      <c r="K33" s="8">
        <f>D4</f>
        <v>9</v>
      </c>
      <c r="L33" s="8">
        <f>N4</f>
        <v>9</v>
      </c>
    </row>
    <row r="34" spans="1:12">
      <c r="A34" s="22" t="s">
        <v>32</v>
      </c>
      <c r="B34" s="22" t="s">
        <v>17</v>
      </c>
      <c r="C34" s="22" t="s">
        <v>12</v>
      </c>
      <c r="D34" s="22" t="s">
        <v>38</v>
      </c>
      <c r="E34" s="22" t="str">
        <f t="shared" si="19"/>
        <v>UoR salary exchange car1401-1600 ccPetrolNo</v>
      </c>
      <c r="F34" s="22"/>
      <c r="G34" s="22"/>
      <c r="H34" s="22"/>
      <c r="I34" s="22"/>
      <c r="J34" s="22"/>
      <c r="K34" s="8">
        <f>B5</f>
        <v>14</v>
      </c>
      <c r="L34" s="8">
        <f>L5</f>
        <v>14</v>
      </c>
    </row>
    <row r="35" spans="1:12">
      <c r="A35" s="22" t="s">
        <v>32</v>
      </c>
      <c r="B35" s="22" t="s">
        <v>17</v>
      </c>
      <c r="C35" s="22" t="s">
        <v>13</v>
      </c>
      <c r="D35" s="22" t="s">
        <v>38</v>
      </c>
      <c r="E35" s="22" t="str">
        <f t="shared" si="19"/>
        <v>UoR salary exchange car1401-1600 ccLPGNo</v>
      </c>
      <c r="F35" s="22"/>
      <c r="G35" s="22"/>
      <c r="H35" s="22"/>
      <c r="I35" s="22"/>
      <c r="J35" s="22"/>
      <c r="K35" s="8">
        <f>C5</f>
        <v>8</v>
      </c>
      <c r="L35" s="8">
        <f>M5</f>
        <v>8</v>
      </c>
    </row>
    <row r="36" spans="1:12">
      <c r="A36" s="22" t="s">
        <v>32</v>
      </c>
      <c r="B36" s="22" t="s">
        <v>17</v>
      </c>
      <c r="C36" s="22" t="s">
        <v>14</v>
      </c>
      <c r="D36" s="22" t="s">
        <v>38</v>
      </c>
      <c r="E36" s="22" t="str">
        <f t="shared" si="19"/>
        <v>UoR salary exchange car1401-1600 ccDieselNo</v>
      </c>
      <c r="F36" s="22"/>
      <c r="G36" s="22"/>
      <c r="H36" s="22"/>
      <c r="I36" s="22"/>
      <c r="J36" s="22"/>
      <c r="K36" s="8">
        <f>D5</f>
        <v>9</v>
      </c>
      <c r="L36" s="8">
        <f>N5</f>
        <v>9</v>
      </c>
    </row>
    <row r="37" spans="1:12">
      <c r="A37" s="22" t="s">
        <v>32</v>
      </c>
      <c r="B37" s="22" t="s">
        <v>20</v>
      </c>
      <c r="C37" s="22" t="s">
        <v>12</v>
      </c>
      <c r="D37" s="22" t="s">
        <v>38</v>
      </c>
      <c r="E37" s="22" t="str">
        <f t="shared" si="19"/>
        <v>UoR salary exchange car1601-2000 ccPetrolNo</v>
      </c>
      <c r="F37" s="22"/>
      <c r="G37" s="22"/>
      <c r="H37" s="22"/>
      <c r="I37" s="22"/>
      <c r="J37" s="22"/>
      <c r="K37" s="8">
        <f>B6</f>
        <v>14</v>
      </c>
      <c r="L37" s="8">
        <f>L6</f>
        <v>14</v>
      </c>
    </row>
    <row r="38" spans="1:12">
      <c r="A38" s="22" t="s">
        <v>32</v>
      </c>
      <c r="B38" s="22" t="s">
        <v>20</v>
      </c>
      <c r="C38" s="22" t="s">
        <v>13</v>
      </c>
      <c r="D38" s="22" t="s">
        <v>38</v>
      </c>
      <c r="E38" s="22" t="str">
        <f t="shared" si="19"/>
        <v>UoR salary exchange car1601-2000 ccLPGNo</v>
      </c>
      <c r="F38" s="22"/>
      <c r="G38" s="22"/>
      <c r="H38" s="22"/>
      <c r="I38" s="22"/>
      <c r="J38" s="22"/>
      <c r="K38" s="8">
        <f>C6</f>
        <v>8</v>
      </c>
      <c r="L38" s="8">
        <f>M6</f>
        <v>8</v>
      </c>
    </row>
    <row r="39" spans="1:12">
      <c r="A39" s="22" t="s">
        <v>32</v>
      </c>
      <c r="B39" s="22" t="s">
        <v>20</v>
      </c>
      <c r="C39" s="22" t="s">
        <v>14</v>
      </c>
      <c r="D39" s="22" t="s">
        <v>38</v>
      </c>
      <c r="E39" s="22" t="str">
        <f t="shared" si="19"/>
        <v>UoR salary exchange car1601-2000 ccDieselNo</v>
      </c>
      <c r="F39" s="22"/>
      <c r="G39" s="22"/>
      <c r="H39" s="22"/>
      <c r="I39" s="22"/>
      <c r="J39" s="22"/>
      <c r="K39" s="8">
        <f>D6</f>
        <v>11</v>
      </c>
      <c r="L39" s="8">
        <f>N6</f>
        <v>11</v>
      </c>
    </row>
    <row r="40" spans="1:12">
      <c r="A40" s="22" t="s">
        <v>32</v>
      </c>
      <c r="B40" s="22" t="s">
        <v>21</v>
      </c>
      <c r="C40" s="22" t="s">
        <v>12</v>
      </c>
      <c r="D40" s="22" t="s">
        <v>38</v>
      </c>
      <c r="E40" s="22" t="str">
        <f t="shared" si="19"/>
        <v>UoR salary exchange carover 2000 ccPetrolNo</v>
      </c>
      <c r="F40" s="22"/>
      <c r="G40" s="22"/>
      <c r="H40" s="22"/>
      <c r="I40" s="22"/>
      <c r="J40" s="22"/>
      <c r="K40" s="8">
        <f>B7</f>
        <v>22</v>
      </c>
      <c r="L40" s="8">
        <f>L7</f>
        <v>22</v>
      </c>
    </row>
    <row r="41" spans="1:12">
      <c r="A41" s="22" t="s">
        <v>32</v>
      </c>
      <c r="B41" s="22" t="s">
        <v>21</v>
      </c>
      <c r="C41" s="22" t="s">
        <v>13</v>
      </c>
      <c r="D41" s="22" t="s">
        <v>38</v>
      </c>
      <c r="E41" s="22" t="str">
        <f t="shared" si="19"/>
        <v>UoR salary exchange carover 2000 ccLPGNo</v>
      </c>
      <c r="F41" s="22"/>
      <c r="G41" s="22"/>
      <c r="H41" s="22"/>
      <c r="I41" s="22"/>
      <c r="J41" s="22"/>
      <c r="K41" s="8">
        <f>C7</f>
        <v>13</v>
      </c>
      <c r="L41" s="8">
        <f>M7</f>
        <v>13</v>
      </c>
    </row>
    <row r="42" spans="1:12">
      <c r="A42" s="22" t="s">
        <v>32</v>
      </c>
      <c r="B42" s="22" t="s">
        <v>21</v>
      </c>
      <c r="C42" s="22" t="s">
        <v>14</v>
      </c>
      <c r="D42" s="22" t="s">
        <v>38</v>
      </c>
      <c r="E42" s="22" t="str">
        <f t="shared" si="19"/>
        <v>UoR salary exchange carover 2000 ccDieselNo</v>
      </c>
      <c r="F42" s="22"/>
      <c r="G42" s="22"/>
      <c r="H42" s="22"/>
      <c r="I42" s="22"/>
      <c r="J42" s="22"/>
      <c r="K42" s="8">
        <f>D7</f>
        <v>13</v>
      </c>
      <c r="L42" s="8">
        <f>N7</f>
        <v>13</v>
      </c>
    </row>
    <row r="43" spans="1:12">
      <c r="A43" s="22" t="s">
        <v>8</v>
      </c>
      <c r="B43" s="22" t="s">
        <v>15</v>
      </c>
      <c r="C43" s="22" t="s">
        <v>12</v>
      </c>
      <c r="D43" s="22" t="s">
        <v>38</v>
      </c>
      <c r="E43" s="22" t="str">
        <f t="shared" si="19"/>
        <v>Motorcycle0 - 1400 ccPetrolNo</v>
      </c>
      <c r="F43" s="22"/>
      <c r="G43" s="22"/>
      <c r="H43" s="22"/>
      <c r="I43" s="22"/>
      <c r="J43" s="22"/>
      <c r="K43" s="22">
        <f>H4</f>
        <v>24</v>
      </c>
      <c r="L43" s="8">
        <f>R4</f>
        <v>15</v>
      </c>
    </row>
    <row r="44" spans="1:12">
      <c r="A44" s="22" t="s">
        <v>8</v>
      </c>
      <c r="B44" s="22" t="s">
        <v>15</v>
      </c>
      <c r="C44" s="22" t="s">
        <v>13</v>
      </c>
      <c r="D44" s="22" t="s">
        <v>38</v>
      </c>
      <c r="E44" s="22" t="str">
        <f t="shared" si="19"/>
        <v>Motorcycle0 - 1400 ccLPGNo</v>
      </c>
      <c r="F44" s="22"/>
      <c r="G44" s="22"/>
      <c r="H44" s="22"/>
      <c r="I44" s="22"/>
      <c r="J44" s="22"/>
      <c r="K44" s="22">
        <f>I4</f>
        <v>24</v>
      </c>
      <c r="L44" s="8">
        <f>S4</f>
        <v>15</v>
      </c>
    </row>
    <row r="45" spans="1:12">
      <c r="A45" s="22" t="s">
        <v>8</v>
      </c>
      <c r="B45" s="22" t="s">
        <v>15</v>
      </c>
      <c r="C45" s="22" t="s">
        <v>14</v>
      </c>
      <c r="D45" s="22" t="s">
        <v>38</v>
      </c>
      <c r="E45" s="22" t="str">
        <f t="shared" si="19"/>
        <v>Motorcycle0 - 1400 ccDieselNo</v>
      </c>
      <c r="F45" s="22"/>
      <c r="G45" s="22"/>
      <c r="H45" s="22"/>
      <c r="I45" s="22"/>
      <c r="J45" s="22"/>
      <c r="K45" s="22">
        <f>J4</f>
        <v>24</v>
      </c>
      <c r="L45" s="8">
        <f>T4</f>
        <v>15</v>
      </c>
    </row>
    <row r="46" spans="1:12">
      <c r="A46" s="22" t="s">
        <v>8</v>
      </c>
      <c r="B46" s="22" t="s">
        <v>17</v>
      </c>
      <c r="C46" s="22" t="s">
        <v>12</v>
      </c>
      <c r="D46" s="22" t="s">
        <v>38</v>
      </c>
      <c r="E46" s="22" t="str">
        <f t="shared" si="19"/>
        <v>Motorcycle1401-1600 ccPetrolNo</v>
      </c>
      <c r="F46" s="22"/>
      <c r="G46" s="22"/>
      <c r="H46" s="22"/>
      <c r="I46" s="22"/>
      <c r="J46" s="22"/>
      <c r="K46" s="22">
        <f>H5</f>
        <v>24</v>
      </c>
      <c r="L46" s="8">
        <f>R5</f>
        <v>15</v>
      </c>
    </row>
    <row r="47" spans="1:12">
      <c r="A47" s="22" t="s">
        <v>8</v>
      </c>
      <c r="B47" s="22" t="s">
        <v>17</v>
      </c>
      <c r="C47" s="22" t="s">
        <v>13</v>
      </c>
      <c r="D47" s="22" t="s">
        <v>38</v>
      </c>
      <c r="E47" s="22" t="str">
        <f t="shared" si="19"/>
        <v>Motorcycle1401-1600 ccLPGNo</v>
      </c>
      <c r="F47" s="22"/>
      <c r="G47" s="22"/>
      <c r="H47" s="22"/>
      <c r="I47" s="22"/>
      <c r="J47" s="22"/>
      <c r="K47" s="22">
        <f>I5</f>
        <v>24</v>
      </c>
      <c r="L47" s="8">
        <f>S5</f>
        <v>15</v>
      </c>
    </row>
    <row r="48" spans="1:12">
      <c r="A48" s="22" t="s">
        <v>8</v>
      </c>
      <c r="B48" s="22" t="s">
        <v>17</v>
      </c>
      <c r="C48" s="22" t="s">
        <v>14</v>
      </c>
      <c r="D48" s="22" t="s">
        <v>38</v>
      </c>
      <c r="E48" s="22" t="str">
        <f t="shared" si="19"/>
        <v>Motorcycle1401-1600 ccDieselNo</v>
      </c>
      <c r="F48" s="22"/>
      <c r="G48" s="22"/>
      <c r="H48" s="22"/>
      <c r="I48" s="22"/>
      <c r="J48" s="22"/>
      <c r="K48" s="22">
        <f>J5</f>
        <v>24</v>
      </c>
      <c r="L48" s="8">
        <f>T5</f>
        <v>15</v>
      </c>
    </row>
    <row r="49" spans="1:13">
      <c r="A49" s="22" t="s">
        <v>8</v>
      </c>
      <c r="B49" s="22" t="s">
        <v>20</v>
      </c>
      <c r="C49" s="22" t="s">
        <v>12</v>
      </c>
      <c r="D49" s="22" t="s">
        <v>38</v>
      </c>
      <c r="E49" s="22" t="str">
        <f t="shared" si="19"/>
        <v>Motorcycle1601-2000 ccPetrolNo</v>
      </c>
      <c r="F49" s="22"/>
      <c r="G49" s="22"/>
      <c r="H49" s="22"/>
      <c r="I49" s="22"/>
      <c r="J49" s="22"/>
      <c r="K49" s="22">
        <f>H6</f>
        <v>24</v>
      </c>
      <c r="L49" s="8">
        <f>R6</f>
        <v>15</v>
      </c>
    </row>
    <row r="50" spans="1:13">
      <c r="A50" s="22" t="s">
        <v>8</v>
      </c>
      <c r="B50" s="22" t="s">
        <v>20</v>
      </c>
      <c r="C50" s="22" t="s">
        <v>13</v>
      </c>
      <c r="D50" s="22" t="s">
        <v>38</v>
      </c>
      <c r="E50" s="22" t="str">
        <f t="shared" si="19"/>
        <v>Motorcycle1601-2000 ccLPGNo</v>
      </c>
      <c r="F50" s="22"/>
      <c r="G50" s="22"/>
      <c r="H50" s="22"/>
      <c r="I50" s="22"/>
      <c r="J50" s="22"/>
      <c r="K50" s="22">
        <f>I6</f>
        <v>24</v>
      </c>
      <c r="L50" s="8">
        <f>S6</f>
        <v>15</v>
      </c>
    </row>
    <row r="51" spans="1:13">
      <c r="A51" s="22" t="s">
        <v>8</v>
      </c>
      <c r="B51" s="22" t="s">
        <v>20</v>
      </c>
      <c r="C51" s="22" t="s">
        <v>14</v>
      </c>
      <c r="D51" s="22" t="s">
        <v>38</v>
      </c>
      <c r="E51" s="22" t="str">
        <f t="shared" si="19"/>
        <v>Motorcycle1601-2000 ccDieselNo</v>
      </c>
      <c r="F51" s="22"/>
      <c r="G51" s="22"/>
      <c r="H51" s="22"/>
      <c r="I51" s="22"/>
      <c r="J51" s="22"/>
      <c r="K51" s="22">
        <f>J6</f>
        <v>24</v>
      </c>
      <c r="L51" s="8">
        <f>T6</f>
        <v>15</v>
      </c>
    </row>
    <row r="52" spans="1:13">
      <c r="A52" s="22" t="s">
        <v>8</v>
      </c>
      <c r="B52" s="22" t="s">
        <v>21</v>
      </c>
      <c r="C52" s="22" t="s">
        <v>12</v>
      </c>
      <c r="D52" s="22" t="s">
        <v>38</v>
      </c>
      <c r="E52" s="22" t="str">
        <f t="shared" si="19"/>
        <v>Motorcycleover 2000 ccPetrolNo</v>
      </c>
      <c r="F52" s="22"/>
      <c r="G52" s="22"/>
      <c r="H52" s="22"/>
      <c r="I52" s="22"/>
      <c r="J52" s="22"/>
      <c r="K52" s="22">
        <f>H7</f>
        <v>24</v>
      </c>
      <c r="L52" s="8">
        <f>R7</f>
        <v>15</v>
      </c>
    </row>
    <row r="53" spans="1:13">
      <c r="A53" s="22" t="s">
        <v>8</v>
      </c>
      <c r="B53" s="22" t="s">
        <v>21</v>
      </c>
      <c r="C53" s="22" t="s">
        <v>13</v>
      </c>
      <c r="D53" s="22" t="s">
        <v>38</v>
      </c>
      <c r="E53" s="22" t="str">
        <f t="shared" si="19"/>
        <v>Motorcycleover 2000 ccLPGNo</v>
      </c>
      <c r="F53" s="22"/>
      <c r="G53" s="22"/>
      <c r="H53" s="22"/>
      <c r="I53" s="22"/>
      <c r="J53" s="22"/>
      <c r="K53" s="22">
        <f>I7</f>
        <v>24</v>
      </c>
      <c r="L53" s="8">
        <f>S7</f>
        <v>15</v>
      </c>
    </row>
    <row r="54" spans="1:13">
      <c r="A54" s="22" t="s">
        <v>8</v>
      </c>
      <c r="B54" s="22" t="s">
        <v>21</v>
      </c>
      <c r="C54" s="22" t="s">
        <v>14</v>
      </c>
      <c r="D54" s="22" t="s">
        <v>38</v>
      </c>
      <c r="E54" s="22" t="str">
        <f t="shared" si="19"/>
        <v>Motorcycleover 2000 ccDieselNo</v>
      </c>
      <c r="F54" s="22"/>
      <c r="G54" s="22"/>
      <c r="H54" s="22"/>
      <c r="I54" s="22"/>
      <c r="J54" s="22"/>
      <c r="K54" s="22">
        <f>J7</f>
        <v>24</v>
      </c>
      <c r="L54" s="8">
        <f>T7</f>
        <v>15</v>
      </c>
    </row>
    <row r="55" spans="1:13" s="22" customFormat="1">
      <c r="A55" s="52" t="s">
        <v>8</v>
      </c>
      <c r="B55" s="52"/>
      <c r="C55" s="52"/>
      <c r="D55" s="52" t="s">
        <v>38</v>
      </c>
      <c r="E55" s="52" t="str">
        <f t="shared" si="19"/>
        <v>MotorcycleNo</v>
      </c>
      <c r="F55" s="52"/>
      <c r="G55" s="52"/>
      <c r="H55" s="52"/>
      <c r="I55" s="52"/>
      <c r="J55" s="52"/>
      <c r="K55" s="52">
        <f>K43</f>
        <v>24</v>
      </c>
      <c r="L55" s="53">
        <f>L43</f>
        <v>15</v>
      </c>
      <c r="M55" s="22" t="s">
        <v>92</v>
      </c>
    </row>
    <row r="56" spans="1:13">
      <c r="A56" s="22" t="s">
        <v>27</v>
      </c>
      <c r="B56" s="22" t="s">
        <v>15</v>
      </c>
      <c r="C56" s="22" t="s">
        <v>12</v>
      </c>
      <c r="D56" s="22" t="s">
        <v>39</v>
      </c>
      <c r="E56" s="22" t="str">
        <f t="shared" si="19"/>
        <v>Personal/ Not a UoR salary exchange car0 - 1400 ccPetrolYes</v>
      </c>
      <c r="F56" s="22"/>
      <c r="G56" s="22"/>
      <c r="H56" s="22"/>
      <c r="I56" s="22"/>
      <c r="J56" s="22"/>
      <c r="K56" s="8">
        <f>E10</f>
        <v>25</v>
      </c>
      <c r="L56" s="22">
        <f>O10</f>
        <v>25</v>
      </c>
    </row>
    <row r="57" spans="1:13">
      <c r="A57" s="22" t="s">
        <v>27</v>
      </c>
      <c r="B57" s="22" t="s">
        <v>15</v>
      </c>
      <c r="C57" s="22" t="s">
        <v>13</v>
      </c>
      <c r="D57" s="22" t="s">
        <v>39</v>
      </c>
      <c r="E57" s="22" t="str">
        <f t="shared" si="19"/>
        <v>Personal/ Not a UoR salary exchange car0 - 1400 ccLPGYes</v>
      </c>
      <c r="F57" s="22"/>
      <c r="G57" s="22"/>
      <c r="H57" s="22"/>
      <c r="I57" s="22"/>
      <c r="J57" s="22"/>
      <c r="K57" s="8">
        <f>F10</f>
        <v>25</v>
      </c>
      <c r="L57" s="22">
        <f>P10</f>
        <v>25</v>
      </c>
    </row>
    <row r="58" spans="1:13">
      <c r="A58" s="22" t="s">
        <v>27</v>
      </c>
      <c r="B58" s="22" t="s">
        <v>15</v>
      </c>
      <c r="C58" s="22" t="s">
        <v>14</v>
      </c>
      <c r="D58" s="22" t="s">
        <v>39</v>
      </c>
      <c r="E58" s="22" t="str">
        <f t="shared" si="19"/>
        <v>Personal/ Not a UoR salary exchange car0 - 1400 ccDieselYes</v>
      </c>
      <c r="F58" s="22"/>
      <c r="G58" s="22"/>
      <c r="H58" s="22"/>
      <c r="I58" s="22"/>
      <c r="J58" s="22"/>
      <c r="K58" s="8">
        <f>G10</f>
        <v>25</v>
      </c>
      <c r="L58" s="22">
        <f>Q10</f>
        <v>25</v>
      </c>
    </row>
    <row r="59" spans="1:13">
      <c r="A59" s="22" t="s">
        <v>27</v>
      </c>
      <c r="B59" s="22" t="s">
        <v>17</v>
      </c>
      <c r="C59" s="22" t="s">
        <v>12</v>
      </c>
      <c r="D59" s="22" t="s">
        <v>39</v>
      </c>
      <c r="E59" s="22" t="str">
        <f t="shared" si="19"/>
        <v>Personal/ Not a UoR salary exchange car1401-1600 ccPetrolYes</v>
      </c>
      <c r="F59" s="22"/>
      <c r="G59" s="22"/>
      <c r="H59" s="22"/>
      <c r="I59" s="22"/>
      <c r="J59" s="22"/>
      <c r="K59" s="8">
        <f>E11</f>
        <v>25</v>
      </c>
      <c r="L59" s="8">
        <f>O11</f>
        <v>25</v>
      </c>
    </row>
    <row r="60" spans="1:13">
      <c r="A60" s="22" t="s">
        <v>27</v>
      </c>
      <c r="B60" s="22" t="s">
        <v>17</v>
      </c>
      <c r="C60" s="22" t="s">
        <v>13</v>
      </c>
      <c r="D60" s="22" t="s">
        <v>39</v>
      </c>
      <c r="E60" s="22" t="str">
        <f t="shared" si="19"/>
        <v>Personal/ Not a UoR salary exchange car1401-1600 ccLPGYes</v>
      </c>
      <c r="F60" s="22"/>
      <c r="G60" s="22"/>
      <c r="H60" s="22"/>
      <c r="I60" s="22"/>
      <c r="J60" s="22"/>
      <c r="K60" s="8">
        <f>F11</f>
        <v>25</v>
      </c>
      <c r="L60" s="8">
        <f>P11</f>
        <v>25</v>
      </c>
    </row>
    <row r="61" spans="1:13">
      <c r="A61" s="22" t="s">
        <v>27</v>
      </c>
      <c r="B61" s="22" t="s">
        <v>17</v>
      </c>
      <c r="C61" s="22" t="s">
        <v>14</v>
      </c>
      <c r="D61" s="22" t="s">
        <v>39</v>
      </c>
      <c r="E61" s="22" t="str">
        <f t="shared" si="19"/>
        <v>Personal/ Not a UoR salary exchange car1401-1600 ccDieselYes</v>
      </c>
      <c r="F61" s="22"/>
      <c r="G61" s="22"/>
      <c r="H61" s="22"/>
      <c r="I61" s="22"/>
      <c r="J61" s="22"/>
      <c r="K61" s="8">
        <f>G11</f>
        <v>25</v>
      </c>
      <c r="L61" s="8">
        <f>Q11</f>
        <v>25</v>
      </c>
    </row>
    <row r="62" spans="1:13">
      <c r="A62" s="22" t="s">
        <v>27</v>
      </c>
      <c r="B62" s="22" t="s">
        <v>20</v>
      </c>
      <c r="C62" s="22" t="s">
        <v>12</v>
      </c>
      <c r="D62" s="22" t="s">
        <v>39</v>
      </c>
      <c r="E62" s="22" t="str">
        <f t="shared" si="19"/>
        <v>Personal/ Not a UoR salary exchange car1601-2000 ccPetrolYes</v>
      </c>
      <c r="F62" s="22"/>
      <c r="G62" s="22"/>
      <c r="H62" s="22"/>
      <c r="I62" s="22"/>
      <c r="J62" s="22"/>
      <c r="K62" s="8">
        <f>E12</f>
        <v>25</v>
      </c>
      <c r="L62" s="8">
        <f>O12</f>
        <v>25</v>
      </c>
    </row>
    <row r="63" spans="1:13">
      <c r="A63" s="22" t="s">
        <v>27</v>
      </c>
      <c r="B63" s="22" t="s">
        <v>20</v>
      </c>
      <c r="C63" s="22" t="s">
        <v>13</v>
      </c>
      <c r="D63" s="22" t="s">
        <v>39</v>
      </c>
      <c r="E63" s="22" t="str">
        <f t="shared" si="19"/>
        <v>Personal/ Not a UoR salary exchange car1601-2000 ccLPGYes</v>
      </c>
      <c r="F63" s="22"/>
      <c r="G63" s="22"/>
      <c r="H63" s="22"/>
      <c r="I63" s="22"/>
      <c r="J63" s="22"/>
      <c r="K63" s="8">
        <f>F12</f>
        <v>25</v>
      </c>
      <c r="L63" s="8">
        <f>P12</f>
        <v>25</v>
      </c>
    </row>
    <row r="64" spans="1:13">
      <c r="A64" s="22" t="s">
        <v>27</v>
      </c>
      <c r="B64" s="22" t="s">
        <v>20</v>
      </c>
      <c r="C64" s="22" t="s">
        <v>14</v>
      </c>
      <c r="D64" s="22" t="s">
        <v>39</v>
      </c>
      <c r="E64" s="22" t="str">
        <f t="shared" si="19"/>
        <v>Personal/ Not a UoR salary exchange car1601-2000 ccDieselYes</v>
      </c>
      <c r="F64" s="22"/>
      <c r="G64" s="22"/>
      <c r="H64" s="22"/>
      <c r="I64" s="22"/>
      <c r="J64" s="22"/>
      <c r="K64" s="8">
        <f>G12</f>
        <v>25</v>
      </c>
      <c r="L64" s="8">
        <f>Q12</f>
        <v>25</v>
      </c>
    </row>
    <row r="65" spans="1:13">
      <c r="A65" s="22" t="s">
        <v>27</v>
      </c>
      <c r="B65" s="22" t="s">
        <v>21</v>
      </c>
      <c r="C65" s="22" t="s">
        <v>12</v>
      </c>
      <c r="D65" s="22" t="s">
        <v>39</v>
      </c>
      <c r="E65" s="22" t="str">
        <f t="shared" si="19"/>
        <v>Personal/ Not a UoR salary exchange carover 2000 ccPetrolYes</v>
      </c>
      <c r="F65" s="22"/>
      <c r="G65" s="22"/>
      <c r="H65" s="22"/>
      <c r="I65" s="22"/>
      <c r="J65" s="22"/>
      <c r="K65" s="8">
        <f>E13</f>
        <v>25</v>
      </c>
      <c r="L65" s="8">
        <f>O13</f>
        <v>25</v>
      </c>
    </row>
    <row r="66" spans="1:13">
      <c r="A66" s="22" t="s">
        <v>27</v>
      </c>
      <c r="B66" s="22" t="s">
        <v>21</v>
      </c>
      <c r="C66" s="22" t="s">
        <v>13</v>
      </c>
      <c r="D66" s="22" t="s">
        <v>39</v>
      </c>
      <c r="E66" s="22" t="str">
        <f t="shared" si="19"/>
        <v>Personal/ Not a UoR salary exchange carover 2000 ccLPGYes</v>
      </c>
      <c r="F66" s="22"/>
      <c r="G66" s="22"/>
      <c r="H66" s="22"/>
      <c r="I66" s="22"/>
      <c r="J66" s="22"/>
      <c r="K66" s="8">
        <f>F13</f>
        <v>25</v>
      </c>
      <c r="L66" s="8">
        <f>P13</f>
        <v>25</v>
      </c>
    </row>
    <row r="67" spans="1:13">
      <c r="A67" s="22" t="s">
        <v>27</v>
      </c>
      <c r="B67" s="22" t="s">
        <v>21</v>
      </c>
      <c r="C67" s="22" t="s">
        <v>14</v>
      </c>
      <c r="D67" s="22" t="s">
        <v>39</v>
      </c>
      <c r="E67" s="22" t="str">
        <f t="shared" si="19"/>
        <v>Personal/ Not a UoR salary exchange carover 2000 ccDieselYes</v>
      </c>
      <c r="F67" s="22"/>
      <c r="G67" s="22"/>
      <c r="H67" s="22"/>
      <c r="I67" s="22"/>
      <c r="J67" s="22"/>
      <c r="K67" s="8">
        <f>G13</f>
        <v>25</v>
      </c>
      <c r="L67" s="8">
        <f>Q13</f>
        <v>25</v>
      </c>
    </row>
    <row r="68" spans="1:13" s="22" customFormat="1">
      <c r="A68" s="52" t="s">
        <v>27</v>
      </c>
      <c r="B68" s="52"/>
      <c r="C68" s="52"/>
      <c r="D68" s="52" t="s">
        <v>39</v>
      </c>
      <c r="E68" s="52" t="str">
        <f t="shared" si="19"/>
        <v>Personal/ Not a UoR salary exchange carYes</v>
      </c>
      <c r="F68" s="52"/>
      <c r="G68" s="52"/>
      <c r="H68" s="52"/>
      <c r="I68" s="52"/>
      <c r="J68" s="52"/>
      <c r="K68" s="53">
        <f>K56</f>
        <v>25</v>
      </c>
      <c r="L68" s="53">
        <f>L56</f>
        <v>25</v>
      </c>
      <c r="M68" s="22" t="s">
        <v>92</v>
      </c>
    </row>
    <row r="69" spans="1:13">
      <c r="A69" s="22" t="s">
        <v>32</v>
      </c>
      <c r="B69" s="22" t="s">
        <v>15</v>
      </c>
      <c r="C69" s="22" t="s">
        <v>12</v>
      </c>
      <c r="D69" s="22" t="s">
        <v>39</v>
      </c>
      <c r="E69" s="22" t="str">
        <f t="shared" si="19"/>
        <v>UoR salary exchange car0 - 1400 ccPetrolYes</v>
      </c>
      <c r="F69" s="22"/>
      <c r="G69" s="22"/>
      <c r="H69" s="22"/>
      <c r="I69" s="22"/>
      <c r="J69" s="22"/>
      <c r="K69" s="8">
        <f>B10</f>
        <v>11</v>
      </c>
      <c r="L69" s="8">
        <f>L10</f>
        <v>11</v>
      </c>
    </row>
    <row r="70" spans="1:13">
      <c r="A70" s="22" t="s">
        <v>32</v>
      </c>
      <c r="B70" s="22" t="s">
        <v>15</v>
      </c>
      <c r="C70" s="22" t="s">
        <v>13</v>
      </c>
      <c r="D70" s="22" t="s">
        <v>39</v>
      </c>
      <c r="E70" s="22" t="str">
        <f t="shared" si="19"/>
        <v>UoR salary exchange car0 - 1400 ccLPGYes</v>
      </c>
      <c r="F70" s="22"/>
      <c r="G70" s="22"/>
      <c r="H70" s="22"/>
      <c r="I70" s="22"/>
      <c r="J70" s="22"/>
      <c r="K70" s="8">
        <f>C10</f>
        <v>7</v>
      </c>
      <c r="L70" s="8">
        <f>M10</f>
        <v>7</v>
      </c>
    </row>
    <row r="71" spans="1:13">
      <c r="A71" s="22" t="s">
        <v>32</v>
      </c>
      <c r="B71" s="22" t="s">
        <v>15</v>
      </c>
      <c r="C71" s="22" t="s">
        <v>14</v>
      </c>
      <c r="D71" s="22" t="s">
        <v>39</v>
      </c>
      <c r="E71" s="22" t="str">
        <f t="shared" si="19"/>
        <v>UoR salary exchange car0 - 1400 ccDieselYes</v>
      </c>
      <c r="F71" s="22"/>
      <c r="G71" s="22"/>
      <c r="H71" s="22"/>
      <c r="I71" s="22"/>
      <c r="J71" s="22"/>
      <c r="K71" s="8">
        <f>D10</f>
        <v>9</v>
      </c>
      <c r="L71" s="8">
        <f>N10</f>
        <v>9</v>
      </c>
    </row>
    <row r="72" spans="1:13">
      <c r="A72" s="22" t="s">
        <v>32</v>
      </c>
      <c r="B72" s="22" t="s">
        <v>17</v>
      </c>
      <c r="C72" s="22" t="s">
        <v>12</v>
      </c>
      <c r="D72" s="22" t="s">
        <v>39</v>
      </c>
      <c r="E72" s="22" t="str">
        <f t="shared" si="19"/>
        <v>UoR salary exchange car1401-1600 ccPetrolYes</v>
      </c>
      <c r="F72" s="22"/>
      <c r="G72" s="22"/>
      <c r="H72" s="22"/>
      <c r="I72" s="22"/>
      <c r="J72" s="22"/>
      <c r="K72" s="8">
        <f>B11</f>
        <v>14</v>
      </c>
      <c r="L72" s="8">
        <f>L11</f>
        <v>14</v>
      </c>
    </row>
    <row r="73" spans="1:13">
      <c r="A73" s="22" t="s">
        <v>32</v>
      </c>
      <c r="B73" s="22" t="s">
        <v>17</v>
      </c>
      <c r="C73" s="22" t="s">
        <v>13</v>
      </c>
      <c r="D73" s="22" t="s">
        <v>39</v>
      </c>
      <c r="E73" s="22" t="str">
        <f t="shared" si="19"/>
        <v>UoR salary exchange car1401-1600 ccLPGYes</v>
      </c>
      <c r="F73" s="22"/>
      <c r="G73" s="22"/>
      <c r="H73" s="22"/>
      <c r="I73" s="22"/>
      <c r="J73" s="22"/>
      <c r="K73" s="8">
        <f>C11</f>
        <v>8</v>
      </c>
      <c r="L73" s="8">
        <f>M11</f>
        <v>8</v>
      </c>
    </row>
    <row r="74" spans="1:13">
      <c r="A74" s="22" t="s">
        <v>32</v>
      </c>
      <c r="B74" s="22" t="s">
        <v>17</v>
      </c>
      <c r="C74" s="22" t="s">
        <v>14</v>
      </c>
      <c r="D74" s="22" t="s">
        <v>39</v>
      </c>
      <c r="E74" s="22" t="str">
        <f t="shared" si="19"/>
        <v>UoR salary exchange car1401-1600 ccDieselYes</v>
      </c>
      <c r="F74" s="22"/>
      <c r="G74" s="22"/>
      <c r="H74" s="22"/>
      <c r="I74" s="22"/>
      <c r="J74" s="22"/>
      <c r="K74" s="8">
        <f>D11</f>
        <v>9</v>
      </c>
      <c r="L74" s="8">
        <f>N11</f>
        <v>9</v>
      </c>
    </row>
    <row r="75" spans="1:13">
      <c r="A75" s="22" t="s">
        <v>32</v>
      </c>
      <c r="B75" s="22" t="s">
        <v>20</v>
      </c>
      <c r="C75" s="22" t="s">
        <v>12</v>
      </c>
      <c r="D75" s="22" t="s">
        <v>39</v>
      </c>
      <c r="E75" s="22" t="str">
        <f t="shared" si="19"/>
        <v>UoR salary exchange car1601-2000 ccPetrolYes</v>
      </c>
      <c r="F75" s="22"/>
      <c r="G75" s="22"/>
      <c r="H75" s="22"/>
      <c r="I75" s="22"/>
      <c r="J75" s="22"/>
      <c r="K75" s="8">
        <f>B12</f>
        <v>14</v>
      </c>
      <c r="L75" s="8">
        <f>L12</f>
        <v>14</v>
      </c>
    </row>
    <row r="76" spans="1:13">
      <c r="A76" s="22" t="s">
        <v>32</v>
      </c>
      <c r="B76" s="22" t="s">
        <v>20</v>
      </c>
      <c r="C76" s="22" t="s">
        <v>13</v>
      </c>
      <c r="D76" s="22" t="s">
        <v>39</v>
      </c>
      <c r="E76" s="22" t="str">
        <f t="shared" si="19"/>
        <v>UoR salary exchange car1601-2000 ccLPGYes</v>
      </c>
      <c r="F76" s="22"/>
      <c r="G76" s="22"/>
      <c r="H76" s="22"/>
      <c r="I76" s="22"/>
      <c r="J76" s="22"/>
      <c r="K76" s="8">
        <f>C12</f>
        <v>8</v>
      </c>
      <c r="L76" s="8">
        <f>M12</f>
        <v>8</v>
      </c>
    </row>
    <row r="77" spans="1:13">
      <c r="A77" s="22" t="s">
        <v>32</v>
      </c>
      <c r="B77" s="22" t="s">
        <v>20</v>
      </c>
      <c r="C77" s="22" t="s">
        <v>14</v>
      </c>
      <c r="D77" s="22" t="s">
        <v>39</v>
      </c>
      <c r="E77" s="22" t="str">
        <f t="shared" si="19"/>
        <v>UoR salary exchange car1601-2000 ccDieselYes</v>
      </c>
      <c r="F77" s="22"/>
      <c r="G77" s="22"/>
      <c r="H77" s="22"/>
      <c r="I77" s="22"/>
      <c r="J77" s="22"/>
      <c r="K77" s="8">
        <f>D12</f>
        <v>11</v>
      </c>
      <c r="L77" s="8">
        <f>N12</f>
        <v>11</v>
      </c>
    </row>
    <row r="78" spans="1:13">
      <c r="A78" s="22" t="s">
        <v>32</v>
      </c>
      <c r="B78" s="22" t="s">
        <v>21</v>
      </c>
      <c r="C78" s="22" t="s">
        <v>12</v>
      </c>
      <c r="D78" s="22" t="s">
        <v>39</v>
      </c>
      <c r="E78" s="22" t="str">
        <f t="shared" si="19"/>
        <v>UoR salary exchange carover 2000 ccPetrolYes</v>
      </c>
      <c r="F78" s="22"/>
      <c r="G78" s="22"/>
      <c r="H78" s="22"/>
      <c r="I78" s="22"/>
      <c r="J78" s="22"/>
      <c r="K78" s="8">
        <f>B13</f>
        <v>22</v>
      </c>
      <c r="L78" s="8">
        <f>L13</f>
        <v>22</v>
      </c>
    </row>
    <row r="79" spans="1:13">
      <c r="A79" s="22" t="s">
        <v>32</v>
      </c>
      <c r="B79" s="22" t="s">
        <v>21</v>
      </c>
      <c r="C79" s="22" t="s">
        <v>13</v>
      </c>
      <c r="D79" s="22" t="s">
        <v>39</v>
      </c>
      <c r="E79" s="22" t="str">
        <f t="shared" si="19"/>
        <v>UoR salary exchange carover 2000 ccLPGYes</v>
      </c>
      <c r="F79" s="22"/>
      <c r="G79" s="22"/>
      <c r="H79" s="22"/>
      <c r="I79" s="22"/>
      <c r="J79" s="22"/>
      <c r="K79" s="8">
        <f>C13</f>
        <v>13</v>
      </c>
      <c r="L79" s="8">
        <f>M13</f>
        <v>13</v>
      </c>
    </row>
    <row r="80" spans="1:13">
      <c r="A80" s="22" t="s">
        <v>32</v>
      </c>
      <c r="B80" s="22" t="s">
        <v>21</v>
      </c>
      <c r="C80" s="22" t="s">
        <v>14</v>
      </c>
      <c r="D80" s="22" t="s">
        <v>39</v>
      </c>
      <c r="E80" s="22" t="str">
        <f t="shared" si="19"/>
        <v>UoR salary exchange carover 2000 ccDieselYes</v>
      </c>
      <c r="F80" s="22"/>
      <c r="G80" s="22"/>
      <c r="H80" s="22"/>
      <c r="I80" s="22"/>
      <c r="J80" s="22"/>
      <c r="K80" s="8">
        <f>D13</f>
        <v>13</v>
      </c>
      <c r="L80" s="8">
        <f>N13</f>
        <v>13</v>
      </c>
    </row>
    <row r="81" spans="1:13">
      <c r="A81" s="22" t="s">
        <v>8</v>
      </c>
      <c r="B81" s="22" t="s">
        <v>15</v>
      </c>
      <c r="C81" s="22" t="s">
        <v>12</v>
      </c>
      <c r="D81" s="22" t="s">
        <v>39</v>
      </c>
      <c r="E81" s="22" t="str">
        <f t="shared" si="19"/>
        <v>Motorcycle0 - 1400 ccPetrolYes</v>
      </c>
      <c r="F81" s="22"/>
      <c r="G81" s="22"/>
      <c r="H81" s="22"/>
      <c r="I81" s="22"/>
      <c r="J81" s="22"/>
      <c r="K81" s="8">
        <f>H10</f>
        <v>24</v>
      </c>
      <c r="L81" s="8">
        <f>R10</f>
        <v>15</v>
      </c>
    </row>
    <row r="82" spans="1:13">
      <c r="A82" s="22" t="s">
        <v>8</v>
      </c>
      <c r="B82" s="22" t="s">
        <v>15</v>
      </c>
      <c r="C82" s="22" t="s">
        <v>13</v>
      </c>
      <c r="D82" s="22" t="s">
        <v>39</v>
      </c>
      <c r="E82" s="22" t="str">
        <f t="shared" si="19"/>
        <v>Motorcycle0 - 1400 ccLPGYes</v>
      </c>
      <c r="F82" s="22"/>
      <c r="G82" s="22"/>
      <c r="H82" s="22"/>
      <c r="I82" s="22"/>
      <c r="J82" s="22"/>
      <c r="K82" s="8">
        <f>I10</f>
        <v>24</v>
      </c>
      <c r="L82" s="8">
        <f>S10</f>
        <v>15</v>
      </c>
    </row>
    <row r="83" spans="1:13">
      <c r="A83" s="22" t="s">
        <v>8</v>
      </c>
      <c r="B83" s="22" t="s">
        <v>15</v>
      </c>
      <c r="C83" s="22" t="s">
        <v>14</v>
      </c>
      <c r="D83" s="22" t="s">
        <v>39</v>
      </c>
      <c r="E83" s="22" t="str">
        <f t="shared" si="19"/>
        <v>Motorcycle0 - 1400 ccDieselYes</v>
      </c>
      <c r="F83" s="22"/>
      <c r="G83" s="22"/>
      <c r="H83" s="22"/>
      <c r="I83" s="22"/>
      <c r="J83" s="22"/>
      <c r="K83" s="8">
        <f>J10</f>
        <v>24</v>
      </c>
      <c r="L83" s="8">
        <f>T10</f>
        <v>15</v>
      </c>
    </row>
    <row r="84" spans="1:13">
      <c r="A84" s="22" t="s">
        <v>8</v>
      </c>
      <c r="B84" s="22" t="s">
        <v>17</v>
      </c>
      <c r="C84" s="22" t="s">
        <v>12</v>
      </c>
      <c r="D84" s="22" t="s">
        <v>39</v>
      </c>
      <c r="E84" s="22" t="str">
        <f t="shared" si="19"/>
        <v>Motorcycle1401-1600 ccPetrolYes</v>
      </c>
      <c r="F84" s="22"/>
      <c r="G84" s="22"/>
      <c r="H84" s="22"/>
      <c r="I84" s="22"/>
      <c r="J84" s="22"/>
      <c r="K84" s="8">
        <f>H11</f>
        <v>24</v>
      </c>
      <c r="L84" s="8">
        <f>R11</f>
        <v>15</v>
      </c>
    </row>
    <row r="85" spans="1:13">
      <c r="A85" s="22" t="s">
        <v>8</v>
      </c>
      <c r="B85" s="22" t="s">
        <v>17</v>
      </c>
      <c r="C85" s="22" t="s">
        <v>13</v>
      </c>
      <c r="D85" s="22" t="s">
        <v>39</v>
      </c>
      <c r="E85" s="22" t="str">
        <f t="shared" si="19"/>
        <v>Motorcycle1401-1600 ccLPGYes</v>
      </c>
      <c r="F85" s="22"/>
      <c r="G85" s="22"/>
      <c r="H85" s="22"/>
      <c r="I85" s="22"/>
      <c r="J85" s="22"/>
      <c r="K85" s="8">
        <f>I11</f>
        <v>24</v>
      </c>
      <c r="L85" s="8">
        <f>S11</f>
        <v>15</v>
      </c>
    </row>
    <row r="86" spans="1:13">
      <c r="A86" s="22" t="s">
        <v>8</v>
      </c>
      <c r="B86" s="22" t="s">
        <v>17</v>
      </c>
      <c r="C86" s="22" t="s">
        <v>14</v>
      </c>
      <c r="D86" s="22" t="s">
        <v>39</v>
      </c>
      <c r="E86" s="22" t="str">
        <f t="shared" ref="E86:E93" si="20">CONCATENATE(A86,B86,C86,D86)</f>
        <v>Motorcycle1401-1600 ccDieselYes</v>
      </c>
      <c r="F86" s="22"/>
      <c r="G86" s="22"/>
      <c r="H86" s="22"/>
      <c r="I86" s="22"/>
      <c r="J86" s="22"/>
      <c r="K86" s="8">
        <f>J11</f>
        <v>24</v>
      </c>
      <c r="L86" s="8">
        <f>T11</f>
        <v>15</v>
      </c>
    </row>
    <row r="87" spans="1:13">
      <c r="A87" s="22" t="s">
        <v>8</v>
      </c>
      <c r="B87" s="22" t="s">
        <v>20</v>
      </c>
      <c r="C87" s="22" t="s">
        <v>12</v>
      </c>
      <c r="D87" s="22" t="s">
        <v>39</v>
      </c>
      <c r="E87" s="22" t="str">
        <f t="shared" si="20"/>
        <v>Motorcycle1601-2000 ccPetrolYes</v>
      </c>
      <c r="F87" s="22"/>
      <c r="G87" s="22"/>
      <c r="H87" s="22"/>
      <c r="I87" s="22"/>
      <c r="J87" s="22"/>
      <c r="K87" s="8">
        <f>H12</f>
        <v>24</v>
      </c>
      <c r="L87" s="8">
        <f>R12</f>
        <v>15</v>
      </c>
    </row>
    <row r="88" spans="1:13">
      <c r="A88" s="22" t="s">
        <v>8</v>
      </c>
      <c r="B88" s="22" t="s">
        <v>20</v>
      </c>
      <c r="C88" s="22" t="s">
        <v>13</v>
      </c>
      <c r="D88" s="22" t="s">
        <v>39</v>
      </c>
      <c r="E88" s="22" t="str">
        <f t="shared" si="20"/>
        <v>Motorcycle1601-2000 ccLPGYes</v>
      </c>
      <c r="F88" s="22"/>
      <c r="G88" s="22"/>
      <c r="H88" s="22"/>
      <c r="I88" s="22"/>
      <c r="J88" s="22"/>
      <c r="K88" s="8">
        <f>I12</f>
        <v>24</v>
      </c>
      <c r="L88" s="8">
        <f>S12</f>
        <v>15</v>
      </c>
    </row>
    <row r="89" spans="1:13">
      <c r="A89" s="22" t="s">
        <v>8</v>
      </c>
      <c r="B89" s="22" t="s">
        <v>20</v>
      </c>
      <c r="C89" s="22" t="s">
        <v>14</v>
      </c>
      <c r="D89" s="22" t="s">
        <v>39</v>
      </c>
      <c r="E89" s="22" t="str">
        <f t="shared" si="20"/>
        <v>Motorcycle1601-2000 ccDieselYes</v>
      </c>
      <c r="F89" s="22"/>
      <c r="G89" s="22"/>
      <c r="H89" s="22"/>
      <c r="I89" s="22"/>
      <c r="J89" s="22"/>
      <c r="K89" s="8">
        <f>J12</f>
        <v>24</v>
      </c>
      <c r="L89" s="8">
        <f>T12</f>
        <v>15</v>
      </c>
    </row>
    <row r="90" spans="1:13">
      <c r="A90" s="22" t="s">
        <v>8</v>
      </c>
      <c r="B90" s="22" t="s">
        <v>21</v>
      </c>
      <c r="C90" s="22" t="s">
        <v>12</v>
      </c>
      <c r="D90" s="22" t="s">
        <v>39</v>
      </c>
      <c r="E90" s="22" t="str">
        <f t="shared" si="20"/>
        <v>Motorcycleover 2000 ccPetrolYes</v>
      </c>
      <c r="F90" s="22"/>
      <c r="G90" s="22"/>
      <c r="H90" s="22"/>
      <c r="I90" s="22"/>
      <c r="J90" s="22"/>
      <c r="K90" s="8">
        <f>H13</f>
        <v>24</v>
      </c>
      <c r="L90" s="8">
        <f>R13</f>
        <v>15</v>
      </c>
    </row>
    <row r="91" spans="1:13">
      <c r="A91" s="22" t="s">
        <v>8</v>
      </c>
      <c r="B91" s="22" t="s">
        <v>21</v>
      </c>
      <c r="C91" s="22" t="s">
        <v>13</v>
      </c>
      <c r="D91" s="22" t="s">
        <v>39</v>
      </c>
      <c r="E91" s="22" t="str">
        <f t="shared" si="20"/>
        <v>Motorcycleover 2000 ccLPGYes</v>
      </c>
      <c r="F91" s="22"/>
      <c r="G91" s="22"/>
      <c r="H91" s="22"/>
      <c r="I91" s="22"/>
      <c r="J91" s="22"/>
      <c r="K91" s="8">
        <f>I13</f>
        <v>24</v>
      </c>
      <c r="L91" s="8">
        <f>S13</f>
        <v>15</v>
      </c>
    </row>
    <row r="92" spans="1:13">
      <c r="A92" s="22" t="s">
        <v>8</v>
      </c>
      <c r="B92" s="22" t="s">
        <v>21</v>
      </c>
      <c r="C92" s="22" t="s">
        <v>14</v>
      </c>
      <c r="D92" s="22" t="s">
        <v>39</v>
      </c>
      <c r="E92" s="22" t="str">
        <f t="shared" si="20"/>
        <v>Motorcycleover 2000 ccDieselYes</v>
      </c>
      <c r="F92" s="22"/>
      <c r="G92" s="22"/>
      <c r="H92" s="22"/>
      <c r="I92" s="22"/>
      <c r="J92" s="22"/>
      <c r="K92" s="8">
        <f>J13</f>
        <v>24</v>
      </c>
      <c r="L92" s="8">
        <f>T13</f>
        <v>15</v>
      </c>
    </row>
    <row r="93" spans="1:13">
      <c r="A93" s="52" t="str">
        <f>A92</f>
        <v>Motorcycle</v>
      </c>
      <c r="B93" s="52"/>
      <c r="C93" s="52"/>
      <c r="D93" s="52" t="str">
        <f>D92</f>
        <v>Yes</v>
      </c>
      <c r="E93" s="52" t="str">
        <f t="shared" si="20"/>
        <v>MotorcycleYes</v>
      </c>
      <c r="F93" s="52"/>
      <c r="G93" s="52"/>
      <c r="H93" s="52"/>
      <c r="I93" s="52"/>
      <c r="J93" s="52"/>
      <c r="K93" s="52">
        <f>K81</f>
        <v>24</v>
      </c>
      <c r="L93" s="53">
        <f>L81</f>
        <v>15</v>
      </c>
      <c r="M93" s="22" t="s">
        <v>92</v>
      </c>
    </row>
    <row r="94" spans="1:13">
      <c r="L94" s="8"/>
    </row>
    <row r="95" spans="1:13">
      <c r="L95" s="8"/>
    </row>
    <row r="96" spans="1:13">
      <c r="L96" s="8"/>
    </row>
    <row r="97" spans="12:12">
      <c r="L97" s="8"/>
    </row>
    <row r="98" spans="12:12">
      <c r="L98" s="8"/>
    </row>
    <row r="99" spans="12:12">
      <c r="L99" s="8"/>
    </row>
    <row r="100" spans="12:12">
      <c r="L100" s="8"/>
    </row>
    <row r="101" spans="12:12">
      <c r="L101" s="8"/>
    </row>
    <row r="102" spans="12:12">
      <c r="L102" s="8"/>
    </row>
    <row r="103" spans="12:12">
      <c r="L103" s="8"/>
    </row>
    <row r="104" spans="12:12">
      <c r="L104" s="8"/>
    </row>
    <row r="105" spans="12:12">
      <c r="L105" s="8"/>
    </row>
    <row r="106" spans="12:12">
      <c r="L106" s="8"/>
    </row>
    <row r="107" spans="12:12">
      <c r="L107" s="8"/>
    </row>
    <row r="108" spans="12:12">
      <c r="L108" s="8"/>
    </row>
    <row r="109" spans="12:12">
      <c r="L109" s="8"/>
    </row>
    <row r="110" spans="12:12">
      <c r="L110" s="8"/>
    </row>
    <row r="111" spans="12:12">
      <c r="L111" s="8"/>
    </row>
    <row r="112" spans="12:12">
      <c r="L112" s="8"/>
    </row>
    <row r="113" spans="12:12">
      <c r="L113" s="8"/>
    </row>
    <row r="114" spans="12:12">
      <c r="L114" s="8"/>
    </row>
    <row r="115" spans="12:12">
      <c r="L115" s="8"/>
    </row>
    <row r="116" spans="12:12">
      <c r="L116" s="8"/>
    </row>
    <row r="117" spans="12:12">
      <c r="L117" s="8"/>
    </row>
    <row r="118" spans="12:12">
      <c r="L118" s="8"/>
    </row>
    <row r="119" spans="12:12">
      <c r="L119" s="8"/>
    </row>
    <row r="120" spans="12:12">
      <c r="L120" s="8"/>
    </row>
    <row r="121" spans="12:12">
      <c r="L121" s="8"/>
    </row>
    <row r="122" spans="12:12">
      <c r="L122" s="8"/>
    </row>
    <row r="123" spans="12:12">
      <c r="L123" s="8"/>
    </row>
    <row r="124" spans="12:12">
      <c r="L124" s="8"/>
    </row>
    <row r="125" spans="12:12">
      <c r="L125" s="8"/>
    </row>
    <row r="126" spans="12:12">
      <c r="L126" s="8"/>
    </row>
    <row r="127" spans="12:12">
      <c r="L127" s="8"/>
    </row>
    <row r="128" spans="12:12">
      <c r="L128" s="8"/>
    </row>
    <row r="129" spans="12:12">
      <c r="L129" s="8"/>
    </row>
    <row r="130" spans="12:12">
      <c r="L130" s="8"/>
    </row>
    <row r="131" spans="12:12">
      <c r="L131" s="8"/>
    </row>
    <row r="132" spans="12:12">
      <c r="L132" s="8"/>
    </row>
  </sheetData>
  <sheetProtection selectLockedCells="1"/>
  <mergeCells count="10">
    <mergeCell ref="M16:N16"/>
    <mergeCell ref="K16:L16"/>
    <mergeCell ref="B2:D2"/>
    <mergeCell ref="E2:G2"/>
    <mergeCell ref="H2:J2"/>
    <mergeCell ref="B1:J1"/>
    <mergeCell ref="L1:T1"/>
    <mergeCell ref="L2:N2"/>
    <mergeCell ref="O2:Q2"/>
    <mergeCell ref="R2:T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31"/>
  <sheetViews>
    <sheetView workbookViewId="0">
      <selection activeCell="E15" sqref="E15"/>
    </sheetView>
  </sheetViews>
  <sheetFormatPr defaultRowHeight="15"/>
  <cols>
    <col min="4" max="4" width="29.7109375" customWidth="1"/>
    <col min="8" max="9" width="0" hidden="1" customWidth="1"/>
  </cols>
  <sheetData>
    <row r="1" spans="1:22" s="22" customFormat="1">
      <c r="A1" s="21" t="s">
        <v>80</v>
      </c>
      <c r="O1" s="428" t="s">
        <v>96</v>
      </c>
      <c r="P1" s="428"/>
      <c r="Q1" s="428"/>
      <c r="R1" s="428"/>
      <c r="S1" s="428"/>
      <c r="T1" s="428"/>
      <c r="U1" s="428"/>
      <c r="V1" s="429"/>
    </row>
    <row r="2" spans="1:22">
      <c r="A2" s="22"/>
      <c r="B2" s="22"/>
      <c r="C2" s="22"/>
      <c r="D2" s="22"/>
      <c r="E2" s="24" t="s">
        <v>61</v>
      </c>
      <c r="F2" s="24" t="s">
        <v>61</v>
      </c>
      <c r="G2" s="24" t="s">
        <v>61</v>
      </c>
      <c r="H2" s="34" t="s">
        <v>62</v>
      </c>
      <c r="I2" s="40" t="s">
        <v>63</v>
      </c>
      <c r="O2" s="430" t="s">
        <v>97</v>
      </c>
      <c r="P2" s="428"/>
      <c r="Q2" s="428"/>
      <c r="R2" s="428"/>
      <c r="S2" s="428"/>
      <c r="T2" s="428"/>
      <c r="U2" s="428"/>
    </row>
    <row r="3" spans="1:22">
      <c r="A3" s="22"/>
      <c r="B3" s="22"/>
      <c r="C3" s="22"/>
      <c r="D3" s="22"/>
      <c r="E3" s="24" t="s">
        <v>64</v>
      </c>
      <c r="F3" s="24" t="s">
        <v>64</v>
      </c>
      <c r="G3" s="24" t="s">
        <v>64</v>
      </c>
      <c r="H3" s="35" t="s">
        <v>65</v>
      </c>
      <c r="I3" s="41" t="s">
        <v>65</v>
      </c>
    </row>
    <row r="4" spans="1:22">
      <c r="A4" s="22"/>
      <c r="B4" s="22"/>
      <c r="C4" s="22"/>
      <c r="D4" s="22"/>
      <c r="E4" s="22"/>
      <c r="F4" s="22"/>
      <c r="G4" s="22"/>
      <c r="H4" s="36"/>
      <c r="I4" s="26"/>
    </row>
    <row r="5" spans="1:22">
      <c r="A5" s="25" t="s">
        <v>66</v>
      </c>
      <c r="B5" s="25" t="s">
        <v>67</v>
      </c>
      <c r="C5" s="25"/>
      <c r="D5" s="25" t="s">
        <v>68</v>
      </c>
      <c r="E5" s="29">
        <v>45</v>
      </c>
      <c r="F5" s="29"/>
      <c r="G5" s="29"/>
      <c r="H5" s="37">
        <v>45</v>
      </c>
      <c r="I5" s="42">
        <v>30</v>
      </c>
    </row>
    <row r="6" spans="1:22">
      <c r="A6" s="27"/>
      <c r="B6" s="27"/>
      <c r="C6" s="27"/>
      <c r="D6" s="27" t="s">
        <v>69</v>
      </c>
      <c r="E6" s="30">
        <v>15</v>
      </c>
      <c r="F6" s="30"/>
      <c r="G6" s="30"/>
      <c r="H6" s="38">
        <v>15</v>
      </c>
      <c r="I6" s="43">
        <v>10</v>
      </c>
    </row>
    <row r="7" spans="1:22">
      <c r="A7" s="27"/>
      <c r="B7" s="27" t="s">
        <v>70</v>
      </c>
      <c r="C7" s="27"/>
      <c r="D7" s="27" t="s">
        <v>68</v>
      </c>
      <c r="E7" s="30">
        <v>25</v>
      </c>
      <c r="F7" s="30"/>
      <c r="G7" s="30"/>
      <c r="H7" s="38">
        <v>45</v>
      </c>
      <c r="I7" s="43">
        <v>30</v>
      </c>
    </row>
    <row r="8" spans="1:22">
      <c r="A8" s="28"/>
      <c r="B8" s="28"/>
      <c r="C8" s="28"/>
      <c r="D8" s="28" t="s">
        <v>69</v>
      </c>
      <c r="E8" s="31">
        <v>15</v>
      </c>
      <c r="F8" s="31"/>
      <c r="G8" s="31"/>
      <c r="H8" s="39">
        <v>15</v>
      </c>
      <c r="I8" s="44">
        <v>10</v>
      </c>
    </row>
    <row r="9" spans="1:22">
      <c r="A9" s="25" t="s">
        <v>8</v>
      </c>
      <c r="B9" s="25"/>
      <c r="C9" s="25"/>
      <c r="D9" s="25" t="s">
        <v>68</v>
      </c>
      <c r="E9" s="29">
        <v>24</v>
      </c>
      <c r="F9" s="29"/>
      <c r="G9" s="29"/>
      <c r="H9" s="37">
        <v>33</v>
      </c>
      <c r="I9" s="42" t="s">
        <v>71</v>
      </c>
    </row>
    <row r="10" spans="1:22">
      <c r="A10" s="28"/>
      <c r="B10" s="28"/>
      <c r="C10" s="28"/>
      <c r="D10" s="28" t="s">
        <v>69</v>
      </c>
      <c r="E10" s="31">
        <v>15</v>
      </c>
      <c r="F10" s="31"/>
      <c r="G10" s="31"/>
      <c r="H10" s="39">
        <v>20</v>
      </c>
      <c r="I10" s="44" t="s">
        <v>71</v>
      </c>
    </row>
    <row r="11" spans="1:22">
      <c r="A11" s="22"/>
      <c r="B11" s="22"/>
      <c r="C11" s="22"/>
      <c r="D11" s="22"/>
      <c r="E11" s="23"/>
      <c r="F11" s="23"/>
      <c r="G11" s="23"/>
      <c r="H11" s="23"/>
      <c r="I11" s="23"/>
    </row>
    <row r="12" spans="1:22">
      <c r="A12" s="21" t="s">
        <v>81</v>
      </c>
      <c r="B12" s="22"/>
      <c r="C12" s="22"/>
      <c r="D12" s="22"/>
      <c r="E12" s="23"/>
      <c r="F12" s="23"/>
      <c r="G12" s="23"/>
      <c r="H12" s="23"/>
      <c r="I12" s="23"/>
    </row>
    <row r="13" spans="1:22">
      <c r="A13" s="22"/>
      <c r="B13" s="22"/>
      <c r="C13" s="22"/>
      <c r="D13" s="22"/>
      <c r="E13" s="23"/>
      <c r="F13" s="23"/>
      <c r="G13" s="23"/>
      <c r="H13" s="23"/>
      <c r="I13" s="23"/>
    </row>
    <row r="14" spans="1:22">
      <c r="A14" s="22"/>
      <c r="B14" s="22"/>
      <c r="C14" s="22"/>
      <c r="D14" s="33" t="s">
        <v>11</v>
      </c>
      <c r="E14" s="32" t="s">
        <v>12</v>
      </c>
      <c r="F14" s="32" t="s">
        <v>13</v>
      </c>
      <c r="G14" s="32" t="s">
        <v>14</v>
      </c>
      <c r="H14" s="23"/>
      <c r="I14" s="23"/>
    </row>
    <row r="15" spans="1:22">
      <c r="A15" s="22"/>
      <c r="B15" s="22"/>
      <c r="C15" s="22"/>
      <c r="D15" s="22" t="s">
        <v>15</v>
      </c>
      <c r="E15" s="23" t="s">
        <v>16</v>
      </c>
      <c r="F15" s="23">
        <v>9</v>
      </c>
      <c r="G15" s="23">
        <v>11</v>
      </c>
      <c r="H15" s="23"/>
      <c r="I15" s="23"/>
    </row>
    <row r="16" spans="1:22">
      <c r="A16" s="22"/>
      <c r="B16" s="22"/>
      <c r="C16" s="22"/>
      <c r="D16" s="22" t="s">
        <v>17</v>
      </c>
      <c r="E16" s="23" t="s">
        <v>18</v>
      </c>
      <c r="F16" s="23" t="s">
        <v>19</v>
      </c>
      <c r="G16" s="23">
        <v>11</v>
      </c>
      <c r="H16" s="23"/>
      <c r="I16" s="23"/>
    </row>
    <row r="17" spans="1:9">
      <c r="A17" s="22"/>
      <c r="B17" s="22"/>
      <c r="C17" s="22"/>
      <c r="D17" s="22" t="s">
        <v>20</v>
      </c>
      <c r="E17" s="23" t="s">
        <v>18</v>
      </c>
      <c r="F17" s="23" t="s">
        <v>19</v>
      </c>
      <c r="G17" s="23">
        <v>13</v>
      </c>
      <c r="H17" s="23"/>
      <c r="I17" s="23"/>
    </row>
    <row r="18" spans="1:9">
      <c r="A18" s="22"/>
      <c r="B18" s="22"/>
      <c r="C18" s="22"/>
      <c r="D18" s="22" t="s">
        <v>21</v>
      </c>
      <c r="E18" s="23" t="s">
        <v>22</v>
      </c>
      <c r="F18" s="23">
        <v>16</v>
      </c>
      <c r="G18" s="23" t="s">
        <v>23</v>
      </c>
      <c r="H18" s="23"/>
      <c r="I18" s="23"/>
    </row>
    <row r="19" spans="1:9">
      <c r="A19" s="22"/>
      <c r="B19" s="22"/>
      <c r="C19" s="22"/>
      <c r="D19" s="22"/>
      <c r="E19" s="23"/>
      <c r="F19" s="23"/>
      <c r="G19" s="23"/>
      <c r="H19" s="23"/>
      <c r="I19" s="23"/>
    </row>
    <row r="20" spans="1:9" s="22" customFormat="1">
      <c r="A20" s="21" t="s">
        <v>95</v>
      </c>
      <c r="E20" s="54">
        <v>5</v>
      </c>
      <c r="F20" s="54"/>
      <c r="G20" s="54"/>
      <c r="H20" s="54"/>
      <c r="I20" s="54"/>
    </row>
    <row r="21" spans="1:9" s="22" customFormat="1">
      <c r="A21" s="57" t="s">
        <v>98</v>
      </c>
      <c r="E21" s="54"/>
      <c r="F21" s="54"/>
      <c r="G21" s="54"/>
      <c r="H21" s="54"/>
      <c r="I21" s="54"/>
    </row>
    <row r="22" spans="1:9" s="22" customFormat="1">
      <c r="A22" s="21"/>
      <c r="E22" s="54"/>
      <c r="F22" s="54"/>
      <c r="G22" s="54"/>
      <c r="H22" s="54"/>
      <c r="I22" s="54"/>
    </row>
    <row r="23" spans="1:9" ht="15.75">
      <c r="A23" s="58" t="s">
        <v>82</v>
      </c>
      <c r="B23" s="22"/>
      <c r="C23" s="22"/>
      <c r="D23" s="22"/>
      <c r="E23" s="23" t="s">
        <v>72</v>
      </c>
      <c r="F23" s="23"/>
      <c r="G23" s="23"/>
      <c r="H23" s="23"/>
      <c r="I23" s="23"/>
    </row>
    <row r="24" spans="1:9" ht="15.75">
      <c r="A24" s="45" t="s">
        <v>73</v>
      </c>
      <c r="B24" s="45"/>
      <c r="C24" s="22"/>
      <c r="D24" s="22"/>
      <c r="E24" s="23">
        <v>1</v>
      </c>
      <c r="F24" s="23"/>
      <c r="G24" s="23"/>
      <c r="H24" s="23"/>
      <c r="I24" s="23"/>
    </row>
    <row r="25" spans="1:9" ht="15.75">
      <c r="A25" s="45" t="s">
        <v>74</v>
      </c>
      <c r="B25" s="45"/>
      <c r="C25" s="22"/>
      <c r="D25" s="22"/>
      <c r="E25" s="23">
        <v>12</v>
      </c>
      <c r="F25" s="22"/>
      <c r="G25" s="22"/>
      <c r="H25" s="22"/>
      <c r="I25" s="22"/>
    </row>
    <row r="26" spans="1:9" ht="15.75">
      <c r="A26" s="45" t="s">
        <v>75</v>
      </c>
      <c r="B26" s="45"/>
      <c r="C26" s="22"/>
      <c r="D26" s="22"/>
      <c r="E26" s="23">
        <v>4</v>
      </c>
      <c r="F26" s="22"/>
      <c r="G26" s="22"/>
      <c r="H26" s="22"/>
      <c r="I26" s="22"/>
    </row>
    <row r="27" spans="1:9" ht="15.75">
      <c r="A27" s="45" t="s">
        <v>76</v>
      </c>
      <c r="B27" s="45"/>
      <c r="C27" s="22"/>
      <c r="D27" s="22"/>
      <c r="E27" s="23">
        <v>4</v>
      </c>
      <c r="F27" s="22"/>
      <c r="G27" s="22"/>
      <c r="H27" s="22"/>
      <c r="I27" s="22"/>
    </row>
    <row r="28" spans="1:9" ht="15.75">
      <c r="A28" s="45" t="s">
        <v>77</v>
      </c>
      <c r="B28" s="45"/>
      <c r="C28" s="22"/>
      <c r="D28" s="22"/>
      <c r="E28" s="23">
        <v>8</v>
      </c>
      <c r="F28" s="22"/>
      <c r="G28" s="22"/>
      <c r="H28" s="22"/>
      <c r="I28" s="22"/>
    </row>
    <row r="29" spans="1:9" ht="15.75">
      <c r="A29" s="45" t="s">
        <v>78</v>
      </c>
      <c r="B29" s="45"/>
      <c r="C29" s="22"/>
      <c r="D29" s="22"/>
      <c r="E29" s="23">
        <v>4</v>
      </c>
    </row>
    <row r="30" spans="1:9">
      <c r="A30" s="22"/>
      <c r="B30" s="22"/>
      <c r="C30" s="22"/>
      <c r="D30" s="23"/>
      <c r="E30" s="22"/>
    </row>
    <row r="31" spans="1:9" ht="15.75">
      <c r="A31" s="45" t="s">
        <v>79</v>
      </c>
      <c r="B31" s="22"/>
      <c r="C31" s="22"/>
      <c r="D31" s="22"/>
      <c r="E31" s="22"/>
    </row>
  </sheetData>
  <sheetProtection selectLockedCells="1"/>
  <mergeCells count="2">
    <mergeCell ref="O1:V1"/>
    <mergeCell ref="O2:U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2"/>
  <sheetViews>
    <sheetView workbookViewId="0">
      <selection activeCell="A23" sqref="A23"/>
    </sheetView>
  </sheetViews>
  <sheetFormatPr defaultRowHeight="15"/>
  <cols>
    <col min="1" max="1" width="8.85546875" style="61"/>
    <col min="2" max="2" width="78.85546875" bestFit="1" customWidth="1"/>
    <col min="3" max="3" width="15" style="112" bestFit="1" customWidth="1"/>
  </cols>
  <sheetData>
    <row r="1" spans="1:3">
      <c r="A1" s="61" t="s">
        <v>106</v>
      </c>
    </row>
    <row r="2" spans="1:3">
      <c r="A2" s="61" t="s">
        <v>107</v>
      </c>
      <c r="B2" t="s">
        <v>108</v>
      </c>
    </row>
    <row r="3" spans="1:3">
      <c r="A3" s="61" t="s">
        <v>109</v>
      </c>
      <c r="B3" t="s">
        <v>110</v>
      </c>
    </row>
    <row r="4" spans="1:3">
      <c r="B4" t="s">
        <v>111</v>
      </c>
    </row>
    <row r="5" spans="1:3">
      <c r="B5" t="s">
        <v>112</v>
      </c>
    </row>
    <row r="6" spans="1:3">
      <c r="B6" t="s">
        <v>113</v>
      </c>
    </row>
    <row r="7" spans="1:3">
      <c r="A7" s="61" t="s">
        <v>114</v>
      </c>
      <c r="B7" t="s">
        <v>115</v>
      </c>
    </row>
    <row r="8" spans="1:3">
      <c r="A8" s="61" t="s">
        <v>116</v>
      </c>
      <c r="B8" t="s">
        <v>117</v>
      </c>
    </row>
    <row r="9" spans="1:3">
      <c r="A9" s="61" t="s">
        <v>118</v>
      </c>
      <c r="B9" t="s">
        <v>119</v>
      </c>
    </row>
    <row r="10" spans="1:3">
      <c r="A10" s="61" t="s">
        <v>127</v>
      </c>
      <c r="B10" t="s">
        <v>128</v>
      </c>
      <c r="C10" s="112">
        <v>41913</v>
      </c>
    </row>
    <row r="11" spans="1:3">
      <c r="A11" s="61" t="s">
        <v>129</v>
      </c>
      <c r="B11" t="s">
        <v>130</v>
      </c>
      <c r="C11" s="112">
        <v>41913</v>
      </c>
    </row>
    <row r="12" spans="1:3">
      <c r="A12" s="61" t="s">
        <v>131</v>
      </c>
      <c r="B12" t="s">
        <v>132</v>
      </c>
      <c r="C12" s="112">
        <v>41944</v>
      </c>
    </row>
    <row r="13" spans="1:3">
      <c r="A13" s="61" t="s">
        <v>133</v>
      </c>
      <c r="B13" s="22" t="s">
        <v>134</v>
      </c>
      <c r="C13" s="112">
        <v>41977</v>
      </c>
    </row>
    <row r="14" spans="1:3">
      <c r="A14" s="61" t="s">
        <v>135</v>
      </c>
      <c r="B14" s="22" t="s">
        <v>136</v>
      </c>
      <c r="C14" s="112">
        <v>42064</v>
      </c>
    </row>
    <row r="15" spans="1:3">
      <c r="A15" s="61" t="s">
        <v>137</v>
      </c>
      <c r="B15" s="22" t="s">
        <v>138</v>
      </c>
      <c r="C15" s="112">
        <v>42095</v>
      </c>
    </row>
    <row r="16" spans="1:3">
      <c r="A16" s="61" t="s">
        <v>143</v>
      </c>
      <c r="B16" s="22" t="s">
        <v>144</v>
      </c>
      <c r="C16" s="112">
        <v>42095</v>
      </c>
    </row>
    <row r="17" spans="1:3">
      <c r="A17" s="61" t="s">
        <v>145</v>
      </c>
      <c r="B17" s="22" t="s">
        <v>146</v>
      </c>
      <c r="C17" s="112">
        <v>42156</v>
      </c>
    </row>
    <row r="18" spans="1:3">
      <c r="A18" s="61" t="s">
        <v>147</v>
      </c>
      <c r="B18" s="22" t="s">
        <v>148</v>
      </c>
      <c r="C18" s="112">
        <v>42248</v>
      </c>
    </row>
    <row r="19" spans="1:3">
      <c r="A19" s="61" t="s">
        <v>149</v>
      </c>
      <c r="B19" s="22" t="s">
        <v>150</v>
      </c>
      <c r="C19" s="112">
        <v>42339</v>
      </c>
    </row>
    <row r="20" spans="1:3">
      <c r="B20" t="s">
        <v>151</v>
      </c>
      <c r="C20" s="112">
        <v>42340</v>
      </c>
    </row>
    <row r="21" spans="1:3">
      <c r="A21" s="61" t="s">
        <v>152</v>
      </c>
      <c r="B21" s="22" t="s">
        <v>153</v>
      </c>
      <c r="C21" s="112">
        <v>42430</v>
      </c>
    </row>
    <row r="22" spans="1:3">
      <c r="A22" s="61" t="s">
        <v>154</v>
      </c>
      <c r="B22" s="22" t="s">
        <v>155</v>
      </c>
      <c r="C22" s="112">
        <v>42522</v>
      </c>
    </row>
  </sheetData>
  <sheetProtection password="E821"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Expense claim form</vt:lpstr>
      <vt:lpstr>Rates</vt:lpstr>
      <vt:lpstr>Mileage rates and intercampus </vt:lpstr>
      <vt:lpstr>Form amendments</vt:lpstr>
      <vt:lpstr>Page_1</vt:lpstr>
      <vt:lpstr>Page_2___Details_of_mileage_claims</vt:lpstr>
      <vt:lpstr>'Expense claim form'!Print_Area</vt:lpstr>
      <vt:lpstr>Print_Area</vt:lpstr>
      <vt:lpstr>Rates</vt:lpstr>
    </vt:vector>
  </TitlesOfParts>
  <Company>University of Reading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Finance</dc:creator>
  <cp:lastModifiedBy>Stuart Patching</cp:lastModifiedBy>
  <cp:lastPrinted>2018-04-22T16:33:06Z</cp:lastPrinted>
  <dcterms:created xsi:type="dcterms:W3CDTF">2014-04-30T20:14:26Z</dcterms:created>
  <dcterms:modified xsi:type="dcterms:W3CDTF">2018-04-22T16:33:24Z</dcterms:modified>
</cp:coreProperties>
</file>